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initions" sheetId="1" state="visible" r:id="rId1"/>
    <sheet name="Overview" sheetId="2" state="visible" r:id="rId2"/>
    <sheet name="Incoming Trains" sheetId="3" state="visible" r:id="rId3"/>
    <sheet name="Wagon Groups" sheetId="4" state="visible" r:id="rId4"/>
    <sheet name="Outbound Trains" sheetId="5" state="visible" r:id="rId5"/>
    <sheet name="Drive Stats" sheetId="6" state="visible" r:id="rId6"/>
    <sheet name="WG Yard Times" sheetId="7" state="visible" r:id="rId7"/>
    <sheet name="Activities (raw)" sheetId="8" state="visible" r:id="rId8"/>
    <sheet name="OBTs (raw)" sheetId="9" state="visible" r:id="rId9"/>
    <sheet name="WGs (raw)" sheetId="10" state="visible" r:id="rId10"/>
  </sheets>
  <definedNames>
    <definedName name="_xlnm._FilterDatabase" localSheetId="2" hidden="1">'Incoming Trains'!$A$1:$T$78</definedName>
    <definedName name="_xlnm._FilterDatabase" localSheetId="3" hidden="1">'Wagon Groups'!$A$1:$Q$251</definedName>
    <definedName name="_xlnm._FilterDatabase" localSheetId="4" hidden="1">'Outbound Trains'!$A$1:$O$79</definedName>
    <definedName name="_xlnm._FilterDatabase" localSheetId="5" hidden="1">'Drive Stats'!$A$1:$N$41</definedName>
    <definedName name="_xlnm._FilterDatabase" localSheetId="6" hidden="1">'WG Yard Times'!$A$1:$L$251</definedName>
    <definedName name="_xlnm._FilterDatabase" localSheetId="7" hidden="1">'Activities (raw)'!$A$1:$L$720</definedName>
    <definedName name="_xlnm._FilterDatabase" localSheetId="8" hidden="1">'OBTs (raw)'!$A$1:$N$79</definedName>
    <definedName name="_xlnm._FilterDatabase" localSheetId="9" hidden="1">'WGs (raw)'!$A$1:$H$246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"/>
    <numFmt numFmtId="166" formatCode="yyyy-mm-dd h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46" fontId="3" fillId="0" borderId="0" pivotButton="0" quotePrefix="0" xfId="0"/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4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</cols>
  <sheetData>
    <row r="1" ht="45" customHeight="1">
      <c r="A1" s="1" t="inlineStr">
        <is>
          <t>Metric</t>
        </is>
      </c>
      <c r="B1" s="1" t="inlineStr">
        <is>
          <t>Definition</t>
        </is>
      </c>
      <c r="C1" s="1" t="inlineStr">
        <is>
          <t>Formula / source</t>
        </is>
      </c>
    </row>
    <row r="2">
      <c r="A2" s="2" t="inlineStr">
        <is>
          <t>— Sheets overview —</t>
        </is>
      </c>
      <c r="B2" s="2" t="inlineStr"/>
      <c r="C2" s="2" t="inlineStr"/>
    </row>
    <row r="3">
      <c r="A3" s="3" t="inlineStr">
        <is>
          <t>Incoming Trains</t>
        </is>
      </c>
      <c r="B3" s="3" t="inlineStr">
        <is>
          <t>One row per inbound train, full lifecycle on a single line (identity, timestamps, derived waits/durations).</t>
        </is>
      </c>
      <c r="C3" s="3" t="inlineStr">
        <is>
          <t>tab 2; built by build_incoming_trains_sheet.</t>
        </is>
      </c>
    </row>
    <row r="4">
      <c r="A4" s="3" t="inlineStr">
        <is>
          <t>Wagon Groups</t>
        </is>
      </c>
      <c r="B4" s="3" t="inlineStr">
        <is>
          <t>One row per wagon group, full lifecycle (parent train → classification → parent OBT → departure).</t>
        </is>
      </c>
      <c r="C4" s="3" t="inlineStr">
        <is>
          <t>tab 3; built by build_wagon_groups_sheet.</t>
        </is>
      </c>
    </row>
    <row r="5">
      <c r="A5" s="3" t="inlineStr">
        <is>
          <t>Outbound Trains</t>
        </is>
      </c>
      <c r="B5" s="3" t="inlineStr">
        <is>
          <t>One row per outbound train (OBT), full lifecycle on the classification side (OBTP, exit gate, DEPD).</t>
        </is>
      </c>
      <c r="C5" s="3" t="inlineStr">
        <is>
          <t>tab 4; built by build_outbound_trains_sheet.</t>
        </is>
      </c>
    </row>
    <row r="6">
      <c r="A6" s="3" t="inlineStr">
        <is>
          <t>WG Yard Times</t>
        </is>
      </c>
      <c r="B6" s="3" t="inlineStr">
        <is>
          <t>Per-WG cross-check of arrival-yard and classification-yard dwell times, with all the supporting timestamps shown.</t>
        </is>
      </c>
      <c r="C6" s="3" t="inlineStr">
        <is>
          <t>built by build_wg_yard_times_sheet.</t>
        </is>
      </c>
    </row>
    <row r="7">
      <c r="A7" s="3" t="inlineStr">
        <is>
          <t>Activities (raw)</t>
        </is>
      </c>
      <c r="B7" s="3" t="inlineStr">
        <is>
          <t>One row per completed activity instance. Identity (type, id, entity, length), drive context (from/to/distance), timestamps (initialized/started/completed), duration.</t>
        </is>
      </c>
      <c r="C7" s="3" t="inlineStr">
        <is>
          <t>built by build_activities_raw_sheet.</t>
        </is>
      </c>
    </row>
    <row r="8">
      <c r="A8" s="3" t="inlineStr">
        <is>
          <t>OBTs (raw) / WGs (raw)</t>
        </is>
      </c>
      <c r="B8" s="3" t="inlineStr">
        <is>
          <t>Flat rows for outbound trains and classified wagon groups; redundant with the per-entity sheets but kept for legacy cross-references.</t>
        </is>
      </c>
      <c r="C8" s="3" t="inlineStr">
        <is>
          <t>built by build_obts_raw_sheet / build_wgs_raw_sheet.</t>
        </is>
      </c>
    </row>
    <row r="9">
      <c r="A9" s="2" t="inlineStr">
        <is>
          <t>— Incoming Trains KPIs —</t>
        </is>
      </c>
      <c r="B9" s="2" t="inlineStr"/>
      <c r="C9" s="2" t="inlineStr"/>
    </row>
    <row r="10">
      <c r="A10" s="3" t="inlineStr">
        <is>
          <t>Entry Queue wait (hh:mm:ss)</t>
        </is>
      </c>
      <c r="B10" s="3" t="inlineStr">
        <is>
          <t>Time the train sat in the entry queue waiting for an arrival track to free up. Pure queue time — does NOT include the drive.</t>
        </is>
      </c>
      <c r="C10" s="3" t="inlineStr">
        <is>
          <t>Incoming Trains!M = (E − D)  = ArrivalDriveStart − EntryToStation</t>
        </is>
      </c>
    </row>
    <row r="11">
      <c r="A11" s="3" t="inlineStr">
        <is>
          <t>Arrival drive duration (hh:mm:ss)</t>
        </is>
      </c>
      <c r="B11" s="3" t="inlineStr">
        <is>
          <t>Time the train spent physically driving from the entry gate to its assigned arrival track.</t>
        </is>
      </c>
      <c r="C11" s="3" t="inlineStr">
        <is>
          <t>Incoming Trains!N = (F − E)  = AtArrivalTrack − ArrivalDriveStart</t>
        </is>
      </c>
    </row>
    <row r="12">
      <c r="A12" s="3" t="inlineStr">
        <is>
          <t>ITP wait (hh:mm:ss)</t>
        </is>
      </c>
      <c r="B12" s="3" t="inlineStr">
        <is>
          <t>Time between ITP being submitted to ResourceCU and the work actually commencing. Captures worker + shunt-loco allocation + travel-to-site time.</t>
        </is>
      </c>
      <c r="C12" s="3" t="inlineStr">
        <is>
          <t>Incoming Trains!O = (H − G)  = ITP_Starts − ITP_Init</t>
        </is>
      </c>
    </row>
    <row r="13">
      <c r="A13" s="3" t="inlineStr">
        <is>
          <t>ITP duration (hh:mm:ss)</t>
        </is>
      </c>
      <c r="B13" s="3" t="inlineStr">
        <is>
          <t>Time the ITP work itself ran, once resources arrived.</t>
        </is>
      </c>
      <c r="C13" s="3" t="inlineStr">
        <is>
          <t>Incoming Trains!P = (I − H)  = ITP_Ends − ITP_Starts</t>
        </is>
      </c>
    </row>
    <row r="14">
      <c r="A14" s="3" t="inlineStr">
        <is>
          <t>PushOff wait (hh:mm:ss)</t>
        </is>
      </c>
      <c r="B14" s="3" t="inlineStr">
        <is>
          <t>Time between PushOff being submitted and the work actually commencing. Captures worker re-allocation + passage-track wait.</t>
        </is>
      </c>
      <c r="C14" s="3" t="inlineStr">
        <is>
          <t>Incoming Trains!Q = (K − J)  = PushOff_Starts − PushOff_Init</t>
        </is>
      </c>
    </row>
    <row r="15">
      <c r="A15" s="3" t="inlineStr">
        <is>
          <t>PushOff duration (hh:mm:ss)</t>
        </is>
      </c>
      <c r="B15" s="3" t="inlineStr">
        <is>
          <t>Time the entire PushOff envelope ran (all sub-drives + loco pull-backs between them).</t>
        </is>
      </c>
      <c r="C15" s="3" t="inlineStr">
        <is>
          <t>Incoming Trains!R = (L − K)  = PushOff_Ends − PushOff_Starts</t>
        </is>
      </c>
    </row>
    <row r="16">
      <c r="A16" s="3" t="inlineStr">
        <is>
          <t>Total in arrival yard (hh:mm:ss)</t>
        </is>
      </c>
      <c r="B16" s="3" t="inlineStr">
        <is>
          <t>Total time the inbound train physically occupied an arrival track (from arrival to last WG pushed off).</t>
        </is>
      </c>
      <c r="C16" s="3" t="inlineStr">
        <is>
          <t>Incoming Trains!S = (L − F)  = PushOff_Ends − AtArrivalTrack</t>
        </is>
      </c>
    </row>
    <row r="17">
      <c r="A17" s="3" t="inlineStr">
        <is>
          <t>Total in system (hh:mm:ss)</t>
        </is>
      </c>
      <c r="B17" s="3" t="inlineStr">
        <is>
          <t>End-to-end inbound time: from entry-queue arrival until PushOff completed.</t>
        </is>
      </c>
      <c r="C17" s="3" t="inlineStr">
        <is>
          <t>Incoming Trains!T = (L − D)  = PushOff_Ends − EntryToStation</t>
        </is>
      </c>
    </row>
    <row r="18">
      <c r="A18" s="2" t="inlineStr">
        <is>
          <t>— Wagon Groups KPIs —</t>
        </is>
      </c>
      <c r="B18" s="2" t="inlineStr"/>
      <c r="C18" s="2" t="inlineStr"/>
    </row>
    <row r="19">
      <c r="A19" s="3" t="inlineStr">
        <is>
          <t>Time in arrival yard (hh:mm:ss)</t>
        </is>
      </c>
      <c r="B19" s="3" t="inlineStr">
        <is>
          <t>Time the WG was on the arrival track as part of its parent train, from arrival to being pushed off.</t>
        </is>
      </c>
      <c r="C19" s="3" t="inlineStr">
        <is>
          <t>Wagon Groups!M = (G − E)  = PushOffDriveEnds − AtArrivalTrack</t>
        </is>
      </c>
    </row>
    <row r="20">
      <c r="A20" s="3" t="inlineStr">
        <is>
          <t>Time in classification yard (hh:mm:ss)</t>
        </is>
      </c>
      <c r="B20" s="3" t="inlineStr">
        <is>
          <t>Time the WG sat on its classification track, from arriving there (= PushOffDrive ends) until the parent OBT physically departed.</t>
        </is>
      </c>
      <c r="C20" s="3" t="inlineStr">
        <is>
          <t>Wagon Groups!N = (L − G)  = DepartureDriveEnds − PushOffDriveEnds</t>
        </is>
      </c>
    </row>
    <row r="21">
      <c r="A21" s="3" t="inlineStr">
        <is>
          <t>Idle time on classification track (hh:mm:ss)</t>
        </is>
      </c>
      <c r="B21" s="3" t="inlineStr">
        <is>
          <t>Time the WG waits after getting coupled or secured until the OBTP activity starts — the 'doing nothing' window after its own prep is done but before OBT-wide work begins.</t>
        </is>
      </c>
      <c r="C21" s="3" t="inlineStr">
        <is>
          <t>Wagon Groups!P = (I − O)  = OBTP_Starts − SEC/COP_End</t>
        </is>
      </c>
    </row>
    <row r="22">
      <c r="A22" s="3" t="inlineStr">
        <is>
          <t>Classification context</t>
        </is>
      </c>
      <c r="B22" s="3" t="inlineStr">
        <is>
          <t>Plain-language narrative of the WG's time on the classification track: how it joined (secured first, or coupled to the sibling already there), the wait before each later sibling coupled, the OBTP window, and departure.</t>
        </is>
      </c>
      <c r="C22" s="3" t="inlineStr">
        <is>
          <t>Wagon Groups!Q; built in parse_wagon_groups.</t>
        </is>
      </c>
    </row>
    <row r="23">
      <c r="A23" s="2" t="inlineStr">
        <is>
          <t>— Outbound Trains KPIs —</t>
        </is>
      </c>
      <c r="B23" s="2" t="inlineStr"/>
      <c r="C23" s="2" t="inlineStr"/>
    </row>
    <row r="24">
      <c r="A24" s="3" t="inlineStr">
        <is>
          <t>OBTP wait (hh:mm:ss)</t>
        </is>
      </c>
      <c r="B24" s="3" t="inlineStr">
        <is>
          <t>Time between OBTP being submitted and actually starting. Captures worker + train-loco allocation + travel.</t>
        </is>
      </c>
      <c r="C24" s="3" t="inlineStr">
        <is>
          <t>Outbound Trains!K = (F − E)  = OBTP_Starts − OBTP_Init</t>
        </is>
      </c>
    </row>
    <row r="25">
      <c r="A25" s="3" t="inlineStr">
        <is>
          <t>OBTP duration (hh:mm:ss)</t>
        </is>
      </c>
      <c r="B25" s="3" t="inlineStr">
        <is>
          <t>Time the OBTP work itself ran.</t>
        </is>
      </c>
      <c r="C25" s="3" t="inlineStr">
        <is>
          <t>Outbound Trains!L = (G − F)  = OBTP_Ends − OBTP_Starts</t>
        </is>
      </c>
    </row>
    <row r="26">
      <c r="A26" s="3" t="inlineStr">
        <is>
          <t>DEPD gate wait (hh:mm:ss)</t>
        </is>
      </c>
      <c r="B26" s="3" t="inlineStr">
        <is>
          <t>Time the OBT was ready to depart (DEPD submitted) but stuck waiting for the single exit-gate resource. Headline bottleneck metric given exitGateCount = 1.</t>
        </is>
      </c>
      <c r="C26" s="3" t="inlineStr">
        <is>
          <t>Outbound Trains!M = (I − H)  = DEPD_Starts − DEPD_Init</t>
        </is>
      </c>
    </row>
    <row r="27">
      <c r="A27" s="3" t="inlineStr">
        <is>
          <t>DEPD duration (hh:mm:ss)</t>
        </is>
      </c>
      <c r="B27" s="3" t="inlineStr">
        <is>
          <t>Time the train spent physically driving from its classification track to the exit gate.</t>
        </is>
      </c>
      <c r="C27" s="3" t="inlineStr">
        <is>
          <t>Outbound Trains!N = (J − I)  = DEPD_Ends − DEPD_Starts</t>
        </is>
      </c>
    </row>
    <row r="28">
      <c r="A28" s="3" t="inlineStr">
        <is>
          <t>Total on classification track (hh:mm:ss)</t>
        </is>
      </c>
      <c r="B28" s="3" t="inlineStr">
        <is>
          <t>End-to-end outbound time, from OBT-creation moment (≈ OBTP init) until DEPD completes.</t>
        </is>
      </c>
      <c r="C28" s="3" t="inlineStr">
        <is>
          <t>Outbound Trains!O = (J − E)  = DEPD_Ends − OBTP_Init</t>
        </is>
      </c>
    </row>
    <row r="29">
      <c r="A29" s="2" t="inlineStr">
        <is>
          <t>— Activities (raw) reference —</t>
        </is>
      </c>
      <c r="B29" s="2" t="inlineStr"/>
      <c r="C29" s="2" t="inlineStr"/>
    </row>
    <row r="30">
      <c r="A30" s="3" t="inlineStr">
        <is>
          <t>Activity row</t>
        </is>
      </c>
      <c r="B30" s="3" t="inlineStr">
        <is>
          <t>One row per completed activity (Started AND Completed present). Pending / cancelled activities are excluded from this sheet.</t>
        </is>
      </c>
      <c r="C30" s="3" t="inlineStr">
        <is>
          <t>parse_activity_durations in analytics.py.</t>
        </is>
      </c>
    </row>
    <row r="31">
      <c r="A31" s="3" t="inlineStr">
        <is>
          <t>From / To / Drive length</t>
        </is>
      </c>
      <c r="B31" s="3" t="inlineStr">
        <is>
          <t>Populated only for the three driving activity types (ArrivalDrive, DepartureDrive, PushOffDrive). Distance values come from static maps near the top of analytics.py (ported from C# Models/*DriveActivity.cs and Models/PushOffActivity.cs).</t>
        </is>
      </c>
      <c r="C31" s="3" t="inlineStr">
        <is>
          <t>ARRIVAL_DRIVE_DISTANCES + DEPARTURE_DRIVE_DISTANCES + PUSH_ARRIVAL_LEG + PUSH_CLASS_LEG (in analytics.py).</t>
        </is>
      </c>
    </row>
    <row r="32">
      <c r="A32" s="3" t="inlineStr">
        <is>
          <t>Duration (hh:mm:ss)</t>
        </is>
      </c>
      <c r="B32" s="3" t="inlineStr">
        <is>
          <t>Wall-clock time the activity spent in its 'running' state. Rendered as hh:mm:ss across the whole workbook.</t>
        </is>
      </c>
      <c r="C32" s="3" t="inlineStr">
        <is>
          <t>Activities (raw)!K = Completed − Started</t>
        </is>
      </c>
    </row>
    <row r="33">
      <c r="A33" s="2" t="inlineStr">
        <is>
          <t>— Activity type glossary —</t>
        </is>
      </c>
      <c r="B33" s="2" t="inlineStr"/>
      <c r="C33" s="2" t="inlineStr"/>
    </row>
    <row r="34">
      <c r="A34" s="3" t="inlineStr">
        <is>
          <t>Activity type abbreviations</t>
        </is>
      </c>
      <c r="B34" s="3" t="inlineStr">
        <is>
          <t>ARRD = ArrivalDrive (train enters yard on own loco); ITP = IncomingTrainPreparation (workers prep arriving train); PO = PushOff (parent envelope); POD = PushOffDrive (one sub-drive per consecutive-same-destination cut of WGs); SEC = Securing (first WG on a classification track); COP = Coupling (joining WG to existing WGs on track); OBTP = OutboundTrainPreparation (workers + train loco prep OBT); DEPD = DepartureDrive (OBT exits through gate).</t>
        </is>
      </c>
      <c r="C34" s="3" t="inlineStr">
        <is>
          <t>(reference — see Models/Activity.cs GetActivityAbbreviation).</t>
        </is>
      </c>
    </row>
    <row r="35">
      <c r="A35" s="2" t="inlineStr">
        <is>
          <t>— WG → OBT matching —</t>
        </is>
      </c>
      <c r="B35" s="2" t="inlineStr"/>
      <c r="C35" s="2" t="inlineStr"/>
    </row>
    <row r="36">
      <c r="A36" s="3" t="inlineStr">
        <is>
          <t>How parent OBT is derived for a WG</t>
        </is>
      </c>
      <c r="B36" s="3" t="inlineStr">
        <is>
          <t>WGs are matched to OBTs by classification track + time window: an OBT created at time T on track X owns every WG that arrived on track X at or before T and wasn't already claimed by an earlier OBT on the same track. Greedy, earliest-OBT-first.</t>
        </is>
      </c>
      <c r="C36" s="3" t="inlineStr">
        <is>
          <t>parse_obts_and_wgs in analytics.py.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Wiener Neustadt Shunting Yard — Overview</t>
        </is>
      </c>
    </row>
    <row r="2"/>
    <row r="3">
      <c r="A3" s="5" t="inlineStr">
        <is>
          <t>— Run summary —</t>
        </is>
      </c>
      <c r="B3" s="5" t="inlineStr">
        <is>
          <t>Value</t>
        </is>
      </c>
    </row>
    <row r="4">
      <c r="A4" s="6" t="inlineStr">
        <is>
          <t>Inbound trains processed</t>
        </is>
      </c>
      <c r="B4" s="7">
        <f>COUNTA('Incoming Trains'!A:A)-1</f>
        <v/>
      </c>
    </row>
    <row r="5">
      <c r="A5" s="6" t="inlineStr">
        <is>
          <t>OBTs created</t>
        </is>
      </c>
      <c r="B5" s="7">
        <f>COUNTA('Outbound Trains'!A:A)-1</f>
        <v/>
      </c>
    </row>
    <row r="6">
      <c r="A6" s="6" t="inlineStr">
        <is>
          <t>WGs classified</t>
        </is>
      </c>
      <c r="B6" s="7">
        <f>COUNTA('Wagon Groups'!A:A)-1</f>
        <v/>
      </c>
    </row>
    <row r="7">
      <c r="A7" s="6" t="inlineStr">
        <is>
          <t>Activity instances logged</t>
        </is>
      </c>
      <c r="B7" s="7">
        <f>COUNTA('Activities (raw)'!A:A)-1</f>
        <v/>
      </c>
    </row>
    <row r="8">
      <c r="A8" s="6" t="inlineStr">
        <is>
          <t>Sim duration (hh:mm:ss)</t>
        </is>
      </c>
      <c r="B8" s="8" t="n">
        <v>6.80824074074074</v>
      </c>
    </row>
    <row r="9"/>
    <row r="10">
      <c r="A10" s="5" t="inlineStr">
        <is>
          <t>— Incoming Trains KPIs (per-train averages) —</t>
        </is>
      </c>
      <c r="B10" s="5" t="inlineStr">
        <is>
          <t>Mean</t>
        </is>
      </c>
      <c r="C10" s="5" t="inlineStr">
        <is>
          <t>Min</t>
        </is>
      </c>
      <c r="D10" s="5" t="inlineStr">
        <is>
          <t>Max</t>
        </is>
      </c>
      <c r="E10" s="5" t="inlineStr">
        <is>
          <t>Median</t>
        </is>
      </c>
    </row>
    <row r="11">
      <c r="A11" s="6" t="inlineStr">
        <is>
          <t>Entry Queue wait</t>
        </is>
      </c>
      <c r="B11" s="8">
        <f>IFERROR(AVERAGE('Incoming Trains'!M:M),0)</f>
        <v/>
      </c>
      <c r="C11" s="8">
        <f>IFERROR(MIN('Incoming Trains'!M:M),0)</f>
        <v/>
      </c>
      <c r="D11" s="8">
        <f>IFERROR(MAX('Incoming Trains'!M:M),0)</f>
        <v/>
      </c>
      <c r="E11" s="8">
        <f>IFERROR(MEDIAN('Incoming Trains'!M:M),0)</f>
        <v/>
      </c>
    </row>
    <row r="12">
      <c r="A12" s="6" t="inlineStr">
        <is>
          <t>Arrival drive duration</t>
        </is>
      </c>
      <c r="B12" s="8">
        <f>IFERROR(AVERAGE('Incoming Trains'!N:N),0)</f>
        <v/>
      </c>
      <c r="C12" s="8">
        <f>IFERROR(MIN('Incoming Trains'!N:N),0)</f>
        <v/>
      </c>
      <c r="D12" s="8">
        <f>IFERROR(MAX('Incoming Trains'!N:N),0)</f>
        <v/>
      </c>
      <c r="E12" s="8">
        <f>IFERROR(MEDIAN('Incoming Trains'!N:N),0)</f>
        <v/>
      </c>
    </row>
    <row r="13">
      <c r="A13" s="6" t="inlineStr">
        <is>
          <t>ITP wait</t>
        </is>
      </c>
      <c r="B13" s="8">
        <f>IFERROR(AVERAGE('Incoming Trains'!O:O),0)</f>
        <v/>
      </c>
      <c r="C13" s="8">
        <f>IFERROR(MIN('Incoming Trains'!O:O),0)</f>
        <v/>
      </c>
      <c r="D13" s="8">
        <f>IFERROR(MAX('Incoming Trains'!O:O),0)</f>
        <v/>
      </c>
      <c r="E13" s="8">
        <f>IFERROR(MEDIAN('Incoming Trains'!O:O),0)</f>
        <v/>
      </c>
    </row>
    <row r="14">
      <c r="A14" s="6" t="inlineStr">
        <is>
          <t>ITP duration</t>
        </is>
      </c>
      <c r="B14" s="8">
        <f>IFERROR(AVERAGE('Incoming Trains'!P:P),0)</f>
        <v/>
      </c>
      <c r="C14" s="8">
        <f>IFERROR(MIN('Incoming Trains'!P:P),0)</f>
        <v/>
      </c>
      <c r="D14" s="8">
        <f>IFERROR(MAX('Incoming Trains'!P:P),0)</f>
        <v/>
      </c>
      <c r="E14" s="8">
        <f>IFERROR(MEDIAN('Incoming Trains'!P:P),0)</f>
        <v/>
      </c>
    </row>
    <row r="15">
      <c r="A15" s="6" t="inlineStr">
        <is>
          <t>PushOff wait</t>
        </is>
      </c>
      <c r="B15" s="8">
        <f>IFERROR(AVERAGE('Incoming Trains'!Q:Q),0)</f>
        <v/>
      </c>
      <c r="C15" s="8">
        <f>IFERROR(MIN('Incoming Trains'!Q:Q),0)</f>
        <v/>
      </c>
      <c r="D15" s="8">
        <f>IFERROR(MAX('Incoming Trains'!Q:Q),0)</f>
        <v/>
      </c>
      <c r="E15" s="8">
        <f>IFERROR(MEDIAN('Incoming Trains'!Q:Q),0)</f>
        <v/>
      </c>
    </row>
    <row r="16">
      <c r="A16" s="6" t="inlineStr">
        <is>
          <t>PushOff duration</t>
        </is>
      </c>
      <c r="B16" s="8">
        <f>IFERROR(AVERAGE('Incoming Trains'!R:R),0)</f>
        <v/>
      </c>
      <c r="C16" s="8">
        <f>IFERROR(MIN('Incoming Trains'!R:R),0)</f>
        <v/>
      </c>
      <c r="D16" s="8">
        <f>IFERROR(MAX('Incoming Trains'!R:R),0)</f>
        <v/>
      </c>
      <c r="E16" s="8">
        <f>IFERROR(MEDIAN('Incoming Trains'!R:R),0)</f>
        <v/>
      </c>
    </row>
    <row r="17">
      <c r="A17" s="6" t="inlineStr">
        <is>
          <t>Total in arrival yard</t>
        </is>
      </c>
      <c r="B17" s="8">
        <f>IFERROR(AVERAGE('Incoming Trains'!S:S),0)</f>
        <v/>
      </c>
      <c r="C17" s="8">
        <f>IFERROR(MIN('Incoming Trains'!S:S),0)</f>
        <v/>
      </c>
      <c r="D17" s="8">
        <f>IFERROR(MAX('Incoming Trains'!S:S),0)</f>
        <v/>
      </c>
      <c r="E17" s="8">
        <f>IFERROR(MEDIAN('Incoming Trains'!S:S),0)</f>
        <v/>
      </c>
    </row>
    <row r="18">
      <c r="A18" s="6" t="inlineStr">
        <is>
          <t>Total in system</t>
        </is>
      </c>
      <c r="B18" s="8">
        <f>IFERROR(AVERAGE('Incoming Trains'!T:T),0)</f>
        <v/>
      </c>
      <c r="C18" s="8">
        <f>IFERROR(MIN('Incoming Trains'!T:T),0)</f>
        <v/>
      </c>
      <c r="D18" s="8">
        <f>IFERROR(MAX('Incoming Trains'!T:T),0)</f>
        <v/>
      </c>
      <c r="E18" s="8">
        <f>IFERROR(MEDIAN('Incoming Trains'!T:T),0)</f>
        <v/>
      </c>
    </row>
    <row r="19"/>
    <row r="20">
      <c r="A20" s="5" t="inlineStr">
        <is>
          <t>— Wagon Groups KPIs (per-WG averages) —</t>
        </is>
      </c>
      <c r="B20" s="5" t="inlineStr">
        <is>
          <t>Mean</t>
        </is>
      </c>
      <c r="C20" s="5" t="inlineStr">
        <is>
          <t>Min</t>
        </is>
      </c>
      <c r="D20" s="5" t="inlineStr">
        <is>
          <t>Max</t>
        </is>
      </c>
      <c r="E20" s="5" t="inlineStr">
        <is>
          <t>Median</t>
        </is>
      </c>
    </row>
    <row r="21">
      <c r="A21" s="6" t="inlineStr">
        <is>
          <t>Time in arrival yard</t>
        </is>
      </c>
      <c r="B21" s="8">
        <f>IFERROR(AVERAGE('Wagon Groups'!M:M),0)</f>
        <v/>
      </c>
      <c r="C21" s="8">
        <f>IFERROR(MIN('Wagon Groups'!M:M),0)</f>
        <v/>
      </c>
      <c r="D21" s="8">
        <f>IFERROR(MAX('Wagon Groups'!M:M),0)</f>
        <v/>
      </c>
      <c r="E21" s="8">
        <f>IFERROR(MEDIAN('Wagon Groups'!M:M),0)</f>
        <v/>
      </c>
    </row>
    <row r="22">
      <c r="A22" s="6" t="inlineStr">
        <is>
          <t>Time in classification yard</t>
        </is>
      </c>
      <c r="B22" s="8">
        <f>IFERROR(AVERAGE('Wagon Groups'!N:N),0)</f>
        <v/>
      </c>
      <c r="C22" s="8">
        <f>IFERROR(MIN('Wagon Groups'!N:N),0)</f>
        <v/>
      </c>
      <c r="D22" s="8">
        <f>IFERROR(MAX('Wagon Groups'!N:N),0)</f>
        <v/>
      </c>
      <c r="E22" s="8">
        <f>IFERROR(MEDIAN('Wagon Groups'!N:N),0)</f>
        <v/>
      </c>
    </row>
    <row r="23">
      <c r="A23" s="6" t="inlineStr">
        <is>
          <t>Idle time on classification track</t>
        </is>
      </c>
      <c r="B23" s="8">
        <f>IFERROR(AVERAGE('Wagon Groups'!P:P),0)</f>
        <v/>
      </c>
      <c r="C23" s="8">
        <f>IFERROR(MIN('Wagon Groups'!P:P),0)</f>
        <v/>
      </c>
      <c r="D23" s="8">
        <f>IFERROR(MAX('Wagon Groups'!P:P),0)</f>
        <v/>
      </c>
      <c r="E23" s="8">
        <f>IFERROR(MEDIAN('Wagon Groups'!P:P),0)</f>
        <v/>
      </c>
    </row>
    <row r="24"/>
    <row r="25">
      <c r="A25" s="5" t="inlineStr">
        <is>
          <t>— Outbound Trains KPIs (per-OBT averages) —</t>
        </is>
      </c>
      <c r="B25" s="5" t="inlineStr">
        <is>
          <t>Mean</t>
        </is>
      </c>
      <c r="C25" s="5" t="inlineStr">
        <is>
          <t>Min</t>
        </is>
      </c>
      <c r="D25" s="5" t="inlineStr">
        <is>
          <t>Max</t>
        </is>
      </c>
      <c r="E25" s="5" t="inlineStr">
        <is>
          <t>Median</t>
        </is>
      </c>
    </row>
    <row r="26">
      <c r="A26" s="6" t="inlineStr">
        <is>
          <t>OBTP wait</t>
        </is>
      </c>
      <c r="B26" s="8">
        <f>IFERROR(AVERAGE('Outbound Trains'!K:K),0)</f>
        <v/>
      </c>
      <c r="C26" s="8">
        <f>IFERROR(MIN('Outbound Trains'!K:K),0)</f>
        <v/>
      </c>
      <c r="D26" s="8">
        <f>IFERROR(MAX('Outbound Trains'!K:K),0)</f>
        <v/>
      </c>
      <c r="E26" s="8">
        <f>IFERROR(MEDIAN('Outbound Trains'!K:K),0)</f>
        <v/>
      </c>
    </row>
    <row r="27">
      <c r="A27" s="6" t="inlineStr">
        <is>
          <t>OBTP duration</t>
        </is>
      </c>
      <c r="B27" s="8">
        <f>IFERROR(AVERAGE('Outbound Trains'!L:L),0)</f>
        <v/>
      </c>
      <c r="C27" s="8">
        <f>IFERROR(MIN('Outbound Trains'!L:L),0)</f>
        <v/>
      </c>
      <c r="D27" s="8">
        <f>IFERROR(MAX('Outbound Trains'!L:L),0)</f>
        <v/>
      </c>
      <c r="E27" s="8">
        <f>IFERROR(MEDIAN('Outbound Trains'!L:L),0)</f>
        <v/>
      </c>
    </row>
    <row r="28">
      <c r="A28" s="6" t="inlineStr">
        <is>
          <t>DEPD gate wait</t>
        </is>
      </c>
      <c r="B28" s="8">
        <f>IFERROR(AVERAGE('Outbound Trains'!M:M),0)</f>
        <v/>
      </c>
      <c r="C28" s="8">
        <f>IFERROR(MIN('Outbound Trains'!M:M),0)</f>
        <v/>
      </c>
      <c r="D28" s="8">
        <f>IFERROR(MAX('Outbound Trains'!M:M),0)</f>
        <v/>
      </c>
      <c r="E28" s="8">
        <f>IFERROR(MEDIAN('Outbound Trains'!M:M),0)</f>
        <v/>
      </c>
    </row>
    <row r="29">
      <c r="A29" s="6" t="inlineStr">
        <is>
          <t>DEPD duration</t>
        </is>
      </c>
      <c r="B29" s="8">
        <f>IFERROR(AVERAGE('Outbound Trains'!N:N),0)</f>
        <v/>
      </c>
      <c r="C29" s="8">
        <f>IFERROR(MIN('Outbound Trains'!N:N),0)</f>
        <v/>
      </c>
      <c r="D29" s="8">
        <f>IFERROR(MAX('Outbound Trains'!N:N),0)</f>
        <v/>
      </c>
      <c r="E29" s="8">
        <f>IFERROR(MEDIAN('Outbound Trains'!N:N),0)</f>
        <v/>
      </c>
    </row>
    <row r="30">
      <c r="A30" s="6" t="inlineStr">
        <is>
          <t>Total on classification track</t>
        </is>
      </c>
      <c r="B30" s="8">
        <f>IFERROR(AVERAGE('Outbound Trains'!O:O),0)</f>
        <v/>
      </c>
      <c r="C30" s="8">
        <f>IFERROR(MIN('Outbound Trains'!O:O),0)</f>
        <v/>
      </c>
      <c r="D30" s="8">
        <f>IFERROR(MAX('Outbound Trains'!O:O),0)</f>
        <v/>
      </c>
      <c r="E30" s="8">
        <f>IFERROR(MEDIAN('Outbound Trains'!O:O),0)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8.199999999999999" customWidth="1" min="15" max="15"/>
    <col width="8.199999999999999" customWidth="1" min="16" max="16"/>
    <col width="8.199999999999999" customWidth="1" min="17" max="17"/>
    <col width="8.199999999999999" customWidth="1" min="18" max="18"/>
    <col width="8.199999999999999" customWidth="1" min="19" max="19"/>
    <col width="8.199999999999999" customWidth="1" min="20" max="20"/>
  </cols>
  <sheetData>
    <row r="1" ht="45" customHeight="1">
      <c r="A1" s="1" t="inlineStr">
        <is>
          <t>ID</t>
        </is>
      </c>
      <c r="B1" s="1" t="inlineStr">
        <is>
          <t>Length (m)</t>
        </is>
      </c>
      <c r="C1" s="1" t="inlineStr">
        <is>
          <t>Track</t>
        </is>
      </c>
      <c r="D1" s="1" t="inlineStr">
        <is>
          <t>Entry to station</t>
        </is>
      </c>
      <c r="E1" s="1" t="inlineStr">
        <is>
          <t>Arrival drive start</t>
        </is>
      </c>
      <c r="F1" s="1" t="inlineStr">
        <is>
          <t>At arrival track</t>
        </is>
      </c>
      <c r="G1" s="1" t="inlineStr">
        <is>
          <t>ITP init</t>
        </is>
      </c>
      <c r="H1" s="1" t="inlineStr">
        <is>
          <t>ITP starts</t>
        </is>
      </c>
      <c r="I1" s="1" t="inlineStr">
        <is>
          <t>ITP ends</t>
        </is>
      </c>
      <c r="J1" s="1" t="inlineStr">
        <is>
          <t>PushOff init</t>
        </is>
      </c>
      <c r="K1" s="1" t="inlineStr">
        <is>
          <t>PushOff starts</t>
        </is>
      </c>
      <c r="L1" s="1" t="inlineStr">
        <is>
          <t>PushOff ends</t>
        </is>
      </c>
      <c r="M1" s="1" t="inlineStr">
        <is>
          <t>Entry Queue wait (hh:mm:ss)</t>
        </is>
      </c>
      <c r="N1" s="1" t="inlineStr">
        <is>
          <t>Arrival drive dur (hh:mm:ss)</t>
        </is>
      </c>
      <c r="O1" s="1" t="inlineStr">
        <is>
          <t>ITP wait (hh:mm:ss)</t>
        </is>
      </c>
      <c r="P1" s="1" t="inlineStr">
        <is>
          <t>ITP duration (hh:mm:ss)</t>
        </is>
      </c>
      <c r="Q1" s="1" t="inlineStr">
        <is>
          <t>PushOff wait (hh:mm:ss)</t>
        </is>
      </c>
      <c r="R1" s="1" t="inlineStr">
        <is>
          <t>PushOff duration (hh:mm:ss)</t>
        </is>
      </c>
      <c r="S1" s="1" t="inlineStr">
        <is>
          <t>Total in arrival yard (hh:mm:ss)</t>
        </is>
      </c>
      <c r="T1" s="1" t="inlineStr">
        <is>
          <t>Total in system (hh:mm:ss)</t>
        </is>
      </c>
    </row>
    <row r="2">
      <c r="A2" s="3" t="inlineStr">
        <is>
          <t>12001</t>
        </is>
      </c>
      <c r="B2" s="9" t="n">
        <v>224</v>
      </c>
      <c r="C2" s="3" t="inlineStr">
        <is>
          <t>703</t>
        </is>
      </c>
      <c r="D2" s="10" t="n">
        <v>45663.20833333334</v>
      </c>
      <c r="E2" s="10" t="n">
        <v>45663.20833333334</v>
      </c>
      <c r="F2" s="10" t="n">
        <v>45663.21043981481</v>
      </c>
      <c r="G2" s="10" t="n">
        <v>45663.21043981481</v>
      </c>
      <c r="H2" s="10" t="n">
        <v>45663.21321759259</v>
      </c>
      <c r="I2" s="10" t="n">
        <v>45663.2171875</v>
      </c>
      <c r="J2" s="10" t="n">
        <v>45663.2171875</v>
      </c>
      <c r="K2" s="10" t="n">
        <v>45663.22166666666</v>
      </c>
      <c r="L2" s="10" t="n">
        <v>45663.22773148148</v>
      </c>
      <c r="M2" s="11">
        <f>IF(AND(ISNUMBER(D2),ISNUMBER(E2)),(E2-D2),"")</f>
        <v/>
      </c>
      <c r="N2" s="11">
        <f>IF(AND(ISNUMBER(E2),ISNUMBER(F2)),(F2-E2),"")</f>
        <v/>
      </c>
      <c r="O2" s="11">
        <f>IF(AND(ISNUMBER(G2),ISNUMBER(H2)),(H2-G2),"")</f>
        <v/>
      </c>
      <c r="P2" s="11">
        <f>IF(AND(ISNUMBER(H2),ISNUMBER(I2)),(I2-H2),"")</f>
        <v/>
      </c>
      <c r="Q2" s="11">
        <f>IF(AND(ISNUMBER(J2),ISNUMBER(K2)),(K2-J2),"")</f>
        <v/>
      </c>
      <c r="R2" s="11">
        <f>IF(AND(ISNUMBER(K2),ISNUMBER(L2)),(L2-K2),"")</f>
        <v/>
      </c>
      <c r="S2" s="11">
        <f>IF(AND(ISNUMBER(F2),ISNUMBER(L2)),(L2-F2),"")</f>
        <v/>
      </c>
      <c r="T2" s="11">
        <f>IF(AND(ISNUMBER(D2),ISNUMBER(L2)),(L2-D2),"")</f>
        <v/>
      </c>
    </row>
    <row r="3">
      <c r="A3" s="3" t="inlineStr">
        <is>
          <t>12002</t>
        </is>
      </c>
      <c r="B3" s="9" t="n">
        <v>208</v>
      </c>
      <c r="C3" s="3" t="inlineStr">
        <is>
          <t>727</t>
        </is>
      </c>
      <c r="D3" s="10" t="n">
        <v>45663.20833333334</v>
      </c>
      <c r="E3" s="10" t="n">
        <v>45663.20833333334</v>
      </c>
      <c r="F3" s="10" t="n">
        <v>45663.20996527778</v>
      </c>
      <c r="G3" s="10" t="n">
        <v>45663.20996527778</v>
      </c>
      <c r="H3" s="10" t="n">
        <v>45663.21274305556</v>
      </c>
      <c r="I3" s="10" t="n">
        <v>45663.21603009259</v>
      </c>
      <c r="J3" s="10" t="n">
        <v>45663.21603009259</v>
      </c>
      <c r="K3" s="10" t="n">
        <v>45663.21689814814</v>
      </c>
      <c r="L3" s="10" t="n">
        <v>45663.22078703704</v>
      </c>
      <c r="M3" s="11">
        <f>IF(AND(ISNUMBER(D3),ISNUMBER(E3)),(E3-D3),"")</f>
        <v/>
      </c>
      <c r="N3" s="11">
        <f>IF(AND(ISNUMBER(E3),ISNUMBER(F3)),(F3-E3),"")</f>
        <v/>
      </c>
      <c r="O3" s="11">
        <f>IF(AND(ISNUMBER(G3),ISNUMBER(H3)),(H3-G3),"")</f>
        <v/>
      </c>
      <c r="P3" s="11">
        <f>IF(AND(ISNUMBER(H3),ISNUMBER(I3)),(I3-H3),"")</f>
        <v/>
      </c>
      <c r="Q3" s="11">
        <f>IF(AND(ISNUMBER(J3),ISNUMBER(K3)),(K3-J3),"")</f>
        <v/>
      </c>
      <c r="R3" s="11">
        <f>IF(AND(ISNUMBER(K3),ISNUMBER(L3)),(L3-K3),"")</f>
        <v/>
      </c>
      <c r="S3" s="11">
        <f>IF(AND(ISNUMBER(F3),ISNUMBER(L3)),(L3-F3),"")</f>
        <v/>
      </c>
      <c r="T3" s="11">
        <f>IF(AND(ISNUMBER(D3),ISNUMBER(L3)),(L3-D3),"")</f>
        <v/>
      </c>
    </row>
    <row r="4">
      <c r="A4" s="3" t="inlineStr">
        <is>
          <t>12003</t>
        </is>
      </c>
      <c r="B4" s="9" t="n">
        <v>160</v>
      </c>
      <c r="C4" s="3" t="inlineStr">
        <is>
          <t>703</t>
        </is>
      </c>
      <c r="D4" s="10" t="n">
        <v>45663.3125</v>
      </c>
      <c r="E4" s="10" t="n">
        <v>45663.3125</v>
      </c>
      <c r="F4" s="10" t="n">
        <v>45663.31445601852</v>
      </c>
      <c r="G4" s="10" t="n">
        <v>45663.31445601852</v>
      </c>
      <c r="H4" s="10" t="n">
        <v>45663.3172337963</v>
      </c>
      <c r="I4" s="10" t="n">
        <v>45663.31978009259</v>
      </c>
      <c r="J4" s="10" t="n">
        <v>45663.31978009259</v>
      </c>
      <c r="K4" s="10" t="n">
        <v>45663.32064814815</v>
      </c>
      <c r="L4" s="10" t="n">
        <v>45663.3221412037</v>
      </c>
      <c r="M4" s="11">
        <f>IF(AND(ISNUMBER(D4),ISNUMBER(E4)),(E4-D4),"")</f>
        <v/>
      </c>
      <c r="N4" s="11">
        <f>IF(AND(ISNUMBER(E4),ISNUMBER(F4)),(F4-E4),"")</f>
        <v/>
      </c>
      <c r="O4" s="11">
        <f>IF(AND(ISNUMBER(G4),ISNUMBER(H4)),(H4-G4),"")</f>
        <v/>
      </c>
      <c r="P4" s="11">
        <f>IF(AND(ISNUMBER(H4),ISNUMBER(I4)),(I4-H4),"")</f>
        <v/>
      </c>
      <c r="Q4" s="11">
        <f>IF(AND(ISNUMBER(J4),ISNUMBER(K4)),(K4-J4),"")</f>
        <v/>
      </c>
      <c r="R4" s="11">
        <f>IF(AND(ISNUMBER(K4),ISNUMBER(L4)),(L4-K4),"")</f>
        <v/>
      </c>
      <c r="S4" s="11">
        <f>IF(AND(ISNUMBER(F4),ISNUMBER(L4)),(L4-F4),"")</f>
        <v/>
      </c>
      <c r="T4" s="11">
        <f>IF(AND(ISNUMBER(D4),ISNUMBER(L4)),(L4-D4),"")</f>
        <v/>
      </c>
    </row>
    <row r="5">
      <c r="A5" s="3" t="inlineStr">
        <is>
          <t>12004</t>
        </is>
      </c>
      <c r="B5" s="9" t="n">
        <v>96</v>
      </c>
      <c r="C5" s="3" t="inlineStr">
        <is>
          <t>703</t>
        </is>
      </c>
      <c r="D5" s="10" t="n">
        <v>45663.46875</v>
      </c>
      <c r="E5" s="10" t="n">
        <v>45663.46875</v>
      </c>
      <c r="F5" s="10" t="n">
        <v>45663.47056712963</v>
      </c>
      <c r="G5" s="10" t="n">
        <v>45663.47056712963</v>
      </c>
      <c r="H5" s="10" t="n">
        <v>45663.4733449074</v>
      </c>
      <c r="I5" s="10" t="n">
        <v>45663.47518518518</v>
      </c>
      <c r="J5" s="10" t="n">
        <v>45663.47518518518</v>
      </c>
      <c r="K5" s="10" t="n">
        <v>45663.47606481481</v>
      </c>
      <c r="L5" s="10" t="n">
        <v>45663.47741898148</v>
      </c>
      <c r="M5" s="11">
        <f>IF(AND(ISNUMBER(D5),ISNUMBER(E5)),(E5-D5),"")</f>
        <v/>
      </c>
      <c r="N5" s="11">
        <f>IF(AND(ISNUMBER(E5),ISNUMBER(F5)),(F5-E5),"")</f>
        <v/>
      </c>
      <c r="O5" s="11">
        <f>IF(AND(ISNUMBER(G5),ISNUMBER(H5)),(H5-G5),"")</f>
        <v/>
      </c>
      <c r="P5" s="11">
        <f>IF(AND(ISNUMBER(H5),ISNUMBER(I5)),(I5-H5),"")</f>
        <v/>
      </c>
      <c r="Q5" s="11">
        <f>IF(AND(ISNUMBER(J5),ISNUMBER(K5)),(K5-J5),"")</f>
        <v/>
      </c>
      <c r="R5" s="11">
        <f>IF(AND(ISNUMBER(K5),ISNUMBER(L5)),(L5-K5),"")</f>
        <v/>
      </c>
      <c r="S5" s="11">
        <f>IF(AND(ISNUMBER(F5),ISNUMBER(L5)),(L5-F5),"")</f>
        <v/>
      </c>
      <c r="T5" s="11">
        <f>IF(AND(ISNUMBER(D5),ISNUMBER(L5)),(L5-D5),"")</f>
        <v/>
      </c>
    </row>
    <row r="6">
      <c r="A6" s="3" t="inlineStr">
        <is>
          <t>12005</t>
        </is>
      </c>
      <c r="B6" s="9" t="n">
        <v>176</v>
      </c>
      <c r="C6" s="3" t="inlineStr">
        <is>
          <t>703</t>
        </is>
      </c>
      <c r="D6" s="10" t="n">
        <v>45663.61458333334</v>
      </c>
      <c r="E6" s="10" t="n">
        <v>45663.61458333334</v>
      </c>
      <c r="F6" s="10" t="n">
        <v>45663.61658564815</v>
      </c>
      <c r="G6" s="10" t="n">
        <v>45663.61658564815</v>
      </c>
      <c r="H6" s="10" t="n">
        <v>45663.61936342593</v>
      </c>
      <c r="I6" s="10" t="n">
        <v>45663.62318287037</v>
      </c>
      <c r="J6" s="10" t="n">
        <v>45663.62318287037</v>
      </c>
      <c r="K6" s="10" t="n">
        <v>45663.62405092592</v>
      </c>
      <c r="L6" s="10" t="n">
        <v>45663.62895833333</v>
      </c>
      <c r="M6" s="11">
        <f>IF(AND(ISNUMBER(D6),ISNUMBER(E6)),(E6-D6),"")</f>
        <v/>
      </c>
      <c r="N6" s="11">
        <f>IF(AND(ISNUMBER(E6),ISNUMBER(F6)),(F6-E6),"")</f>
        <v/>
      </c>
      <c r="O6" s="11">
        <f>IF(AND(ISNUMBER(G6),ISNUMBER(H6)),(H6-G6),"")</f>
        <v/>
      </c>
      <c r="P6" s="11">
        <f>IF(AND(ISNUMBER(H6),ISNUMBER(I6)),(I6-H6),"")</f>
        <v/>
      </c>
      <c r="Q6" s="11">
        <f>IF(AND(ISNUMBER(J6),ISNUMBER(K6)),(K6-J6),"")</f>
        <v/>
      </c>
      <c r="R6" s="11">
        <f>IF(AND(ISNUMBER(K6),ISNUMBER(L6)),(L6-K6),"")</f>
        <v/>
      </c>
      <c r="S6" s="11">
        <f>IF(AND(ISNUMBER(F6),ISNUMBER(L6)),(L6-F6),"")</f>
        <v/>
      </c>
      <c r="T6" s="11">
        <f>IF(AND(ISNUMBER(D6),ISNUMBER(L6)),(L6-D6),"")</f>
        <v/>
      </c>
    </row>
    <row r="7">
      <c r="A7" s="3" t="inlineStr">
        <is>
          <t>12006</t>
        </is>
      </c>
      <c r="B7" s="9" t="n">
        <v>160</v>
      </c>
      <c r="C7" s="3" t="inlineStr">
        <is>
          <t>703</t>
        </is>
      </c>
      <c r="D7" s="10" t="n">
        <v>45664.25</v>
      </c>
      <c r="E7" s="10" t="n">
        <v>45664.25</v>
      </c>
      <c r="F7" s="10" t="n">
        <v>45664.25195601852</v>
      </c>
      <c r="G7" s="10" t="n">
        <v>45664.25195601852</v>
      </c>
      <c r="H7" s="10" t="n">
        <v>45664.2547337963</v>
      </c>
      <c r="I7" s="10" t="n">
        <v>45664.25710648148</v>
      </c>
      <c r="J7" s="10" t="n">
        <v>45664.25710648148</v>
      </c>
      <c r="K7" s="10" t="n">
        <v>45664.25798611111</v>
      </c>
      <c r="L7" s="10" t="n">
        <v>45664.26158564815</v>
      </c>
      <c r="M7" s="11">
        <f>IF(AND(ISNUMBER(D7),ISNUMBER(E7)),(E7-D7),"")</f>
        <v/>
      </c>
      <c r="N7" s="11">
        <f>IF(AND(ISNUMBER(E7),ISNUMBER(F7)),(F7-E7),"")</f>
        <v/>
      </c>
      <c r="O7" s="11">
        <f>IF(AND(ISNUMBER(G7),ISNUMBER(H7)),(H7-G7),"")</f>
        <v/>
      </c>
      <c r="P7" s="11">
        <f>IF(AND(ISNUMBER(H7),ISNUMBER(I7)),(I7-H7),"")</f>
        <v/>
      </c>
      <c r="Q7" s="11">
        <f>IF(AND(ISNUMBER(J7),ISNUMBER(K7)),(K7-J7),"")</f>
        <v/>
      </c>
      <c r="R7" s="11">
        <f>IF(AND(ISNUMBER(K7),ISNUMBER(L7)),(L7-K7),"")</f>
        <v/>
      </c>
      <c r="S7" s="11">
        <f>IF(AND(ISNUMBER(F7),ISNUMBER(L7)),(L7-F7),"")</f>
        <v/>
      </c>
      <c r="T7" s="11">
        <f>IF(AND(ISNUMBER(D7),ISNUMBER(L7)),(L7-D7),"")</f>
        <v/>
      </c>
    </row>
    <row r="8">
      <c r="A8" s="3" t="inlineStr">
        <is>
          <t>12007</t>
        </is>
      </c>
      <c r="B8" s="9" t="n">
        <v>128</v>
      </c>
      <c r="C8" s="3" t="inlineStr">
        <is>
          <t>727</t>
        </is>
      </c>
      <c r="D8" s="10" t="n">
        <v>45664.26041666666</v>
      </c>
      <c r="E8" s="10" t="n">
        <v>45664.26041666666</v>
      </c>
      <c r="F8" s="10" t="n">
        <v>45664.26186342593</v>
      </c>
      <c r="G8" s="10" t="n">
        <v>45664.26186342593</v>
      </c>
      <c r="H8" s="10" t="n">
        <v>45664.26464120371</v>
      </c>
      <c r="I8" s="10" t="n">
        <v>45664.26674768519</v>
      </c>
      <c r="J8" s="10" t="n">
        <v>45664.26674768519</v>
      </c>
      <c r="K8" s="10" t="n">
        <v>45664.26762731482</v>
      </c>
      <c r="L8" s="10" t="n">
        <v>45664.2690162037</v>
      </c>
      <c r="M8" s="11">
        <f>IF(AND(ISNUMBER(D8),ISNUMBER(E8)),(E8-D8),"")</f>
        <v/>
      </c>
      <c r="N8" s="11">
        <f>IF(AND(ISNUMBER(E8),ISNUMBER(F8)),(F8-E8),"")</f>
        <v/>
      </c>
      <c r="O8" s="11">
        <f>IF(AND(ISNUMBER(G8),ISNUMBER(H8)),(H8-G8),"")</f>
        <v/>
      </c>
      <c r="P8" s="11">
        <f>IF(AND(ISNUMBER(H8),ISNUMBER(I8)),(I8-H8),"")</f>
        <v/>
      </c>
      <c r="Q8" s="11">
        <f>IF(AND(ISNUMBER(J8),ISNUMBER(K8)),(K8-J8),"")</f>
        <v/>
      </c>
      <c r="R8" s="11">
        <f>IF(AND(ISNUMBER(K8),ISNUMBER(L8)),(L8-K8),"")</f>
        <v/>
      </c>
      <c r="S8" s="11">
        <f>IF(AND(ISNUMBER(F8),ISNUMBER(L8)),(L8-F8),"")</f>
        <v/>
      </c>
      <c r="T8" s="11">
        <f>IF(AND(ISNUMBER(D8),ISNUMBER(L8)),(L8-D8),"")</f>
        <v/>
      </c>
    </row>
    <row r="9">
      <c r="A9" s="3" t="inlineStr">
        <is>
          <t>12008</t>
        </is>
      </c>
      <c r="B9" s="9" t="n">
        <v>224</v>
      </c>
      <c r="C9" s="3" t="inlineStr">
        <is>
          <t>703</t>
        </is>
      </c>
      <c r="D9" s="10" t="n">
        <v>45664.26527777778</v>
      </c>
      <c r="E9" s="10" t="n">
        <v>45664.26527777778</v>
      </c>
      <c r="F9" s="10" t="n">
        <v>45664.26738425926</v>
      </c>
      <c r="G9" s="10" t="n">
        <v>45664.26738425926</v>
      </c>
      <c r="H9" s="10" t="n">
        <v>45664.27016203704</v>
      </c>
      <c r="I9" s="10" t="n">
        <v>45664.27356481482</v>
      </c>
      <c r="J9" s="10" t="n">
        <v>45664.27356481482</v>
      </c>
      <c r="K9" s="10" t="n">
        <v>45664.27443287037</v>
      </c>
      <c r="L9" s="10" t="n">
        <v>45664.28020833333</v>
      </c>
      <c r="M9" s="11">
        <f>IF(AND(ISNUMBER(D9),ISNUMBER(E9)),(E9-D9),"")</f>
        <v/>
      </c>
      <c r="N9" s="11">
        <f>IF(AND(ISNUMBER(E9),ISNUMBER(F9)),(F9-E9),"")</f>
        <v/>
      </c>
      <c r="O9" s="11">
        <f>IF(AND(ISNUMBER(G9),ISNUMBER(H9)),(H9-G9),"")</f>
        <v/>
      </c>
      <c r="P9" s="11">
        <f>IF(AND(ISNUMBER(H9),ISNUMBER(I9)),(I9-H9),"")</f>
        <v/>
      </c>
      <c r="Q9" s="11">
        <f>IF(AND(ISNUMBER(J9),ISNUMBER(K9)),(K9-J9),"")</f>
        <v/>
      </c>
      <c r="R9" s="11">
        <f>IF(AND(ISNUMBER(K9),ISNUMBER(L9)),(L9-K9),"")</f>
        <v/>
      </c>
      <c r="S9" s="11">
        <f>IF(AND(ISNUMBER(F9),ISNUMBER(L9)),(L9-F9),"")</f>
        <v/>
      </c>
      <c r="T9" s="11">
        <f>IF(AND(ISNUMBER(D9),ISNUMBER(L9)),(L9-D9),"")</f>
        <v/>
      </c>
    </row>
    <row r="10">
      <c r="A10" s="3" t="inlineStr">
        <is>
          <t>12009</t>
        </is>
      </c>
      <c r="B10" s="9" t="n">
        <v>128</v>
      </c>
      <c r="C10" s="3" t="inlineStr">
        <is>
          <t>727</t>
        </is>
      </c>
      <c r="D10" s="10" t="n">
        <v>45664.27569444444</v>
      </c>
      <c r="E10" s="10" t="n">
        <v>45664.27569444444</v>
      </c>
      <c r="F10" s="10" t="n">
        <v>45664.2771412037</v>
      </c>
      <c r="G10" s="10" t="n">
        <v>45664.2771412037</v>
      </c>
      <c r="H10" s="10" t="n">
        <v>45664.27991898148</v>
      </c>
      <c r="I10" s="10" t="n">
        <v>45664.28263888889</v>
      </c>
      <c r="J10" s="10" t="n">
        <v>45664.28263888889</v>
      </c>
      <c r="K10" s="10" t="n">
        <v>45664.28351851852</v>
      </c>
      <c r="L10" s="10" t="n">
        <v>45664.28900462963</v>
      </c>
      <c r="M10" s="11">
        <f>IF(AND(ISNUMBER(D10),ISNUMBER(E10)),(E10-D10),"")</f>
        <v/>
      </c>
      <c r="N10" s="11">
        <f>IF(AND(ISNUMBER(E10),ISNUMBER(F10)),(F10-E10),"")</f>
        <v/>
      </c>
      <c r="O10" s="11">
        <f>IF(AND(ISNUMBER(G10),ISNUMBER(H10)),(H10-G10),"")</f>
        <v/>
      </c>
      <c r="P10" s="11">
        <f>IF(AND(ISNUMBER(H10),ISNUMBER(I10)),(I10-H10),"")</f>
        <v/>
      </c>
      <c r="Q10" s="11">
        <f>IF(AND(ISNUMBER(J10),ISNUMBER(K10)),(K10-J10),"")</f>
        <v/>
      </c>
      <c r="R10" s="11">
        <f>IF(AND(ISNUMBER(K10),ISNUMBER(L10)),(L10-K10),"")</f>
        <v/>
      </c>
      <c r="S10" s="11">
        <f>IF(AND(ISNUMBER(F10),ISNUMBER(L10)),(L10-F10),"")</f>
        <v/>
      </c>
      <c r="T10" s="11">
        <f>IF(AND(ISNUMBER(D10),ISNUMBER(L10)),(L10-D10),"")</f>
        <v/>
      </c>
    </row>
    <row r="11">
      <c r="A11" s="3" t="inlineStr">
        <is>
          <t>12010</t>
        </is>
      </c>
      <c r="B11" s="9" t="n">
        <v>96</v>
      </c>
      <c r="C11" s="3" t="inlineStr">
        <is>
          <t>703</t>
        </is>
      </c>
      <c r="D11" s="10" t="n">
        <v>45664.28472222222</v>
      </c>
      <c r="E11" s="10" t="n">
        <v>45664.28472222222</v>
      </c>
      <c r="F11" s="10" t="n">
        <v>45664.28653935185</v>
      </c>
      <c r="G11" s="10" t="n">
        <v>45664.28653935185</v>
      </c>
      <c r="H11" s="10" t="n">
        <v>45664.28931712963</v>
      </c>
      <c r="I11" s="10" t="n">
        <v>45664.29090277778</v>
      </c>
      <c r="J11" s="10" t="n">
        <v>45664.29090277778</v>
      </c>
      <c r="K11" s="10" t="n">
        <v>45664.29178240741</v>
      </c>
      <c r="L11" s="10" t="n">
        <v>45664.29391203704</v>
      </c>
      <c r="M11" s="11">
        <f>IF(AND(ISNUMBER(D11),ISNUMBER(E11)),(E11-D11),"")</f>
        <v/>
      </c>
      <c r="N11" s="11">
        <f>IF(AND(ISNUMBER(E11),ISNUMBER(F11)),(F11-E11),"")</f>
        <v/>
      </c>
      <c r="O11" s="11">
        <f>IF(AND(ISNUMBER(G11),ISNUMBER(H11)),(H11-G11),"")</f>
        <v/>
      </c>
      <c r="P11" s="11">
        <f>IF(AND(ISNUMBER(H11),ISNUMBER(I11)),(I11-H11),"")</f>
        <v/>
      </c>
      <c r="Q11" s="11">
        <f>IF(AND(ISNUMBER(J11),ISNUMBER(K11)),(K11-J11),"")</f>
        <v/>
      </c>
      <c r="R11" s="11">
        <f>IF(AND(ISNUMBER(K11),ISNUMBER(L11)),(L11-K11),"")</f>
        <v/>
      </c>
      <c r="S11" s="11">
        <f>IF(AND(ISNUMBER(F11),ISNUMBER(L11)),(L11-F11),"")</f>
        <v/>
      </c>
      <c r="T11" s="11">
        <f>IF(AND(ISNUMBER(D11),ISNUMBER(L11)),(L11-D11),"")</f>
        <v/>
      </c>
    </row>
    <row r="12">
      <c r="A12" s="3" t="inlineStr">
        <is>
          <t>12011</t>
        </is>
      </c>
      <c r="B12" s="9" t="n">
        <v>192</v>
      </c>
      <c r="C12" s="3" t="inlineStr">
        <is>
          <t>727</t>
        </is>
      </c>
      <c r="D12" s="10" t="n">
        <v>45664.29236111111</v>
      </c>
      <c r="E12" s="10" t="n">
        <v>45664.29236111111</v>
      </c>
      <c r="F12" s="10" t="n">
        <v>45664.29395833334</v>
      </c>
      <c r="G12" s="10" t="n">
        <v>45664.29395833334</v>
      </c>
      <c r="H12" s="10" t="n">
        <v>45664.29673611111</v>
      </c>
      <c r="I12" s="10" t="n">
        <v>45664.29900462963</v>
      </c>
      <c r="J12" s="10" t="n">
        <v>45664.29900462963</v>
      </c>
      <c r="K12" s="10" t="n">
        <v>45664.29988425926</v>
      </c>
      <c r="L12" s="10" t="n">
        <v>45664.30368055555</v>
      </c>
      <c r="M12" s="11">
        <f>IF(AND(ISNUMBER(D12),ISNUMBER(E12)),(E12-D12),"")</f>
        <v/>
      </c>
      <c r="N12" s="11">
        <f>IF(AND(ISNUMBER(E12),ISNUMBER(F12)),(F12-E12),"")</f>
        <v/>
      </c>
      <c r="O12" s="11">
        <f>IF(AND(ISNUMBER(G12),ISNUMBER(H12)),(H12-G12),"")</f>
        <v/>
      </c>
      <c r="P12" s="11">
        <f>IF(AND(ISNUMBER(H12),ISNUMBER(I12)),(I12-H12),"")</f>
        <v/>
      </c>
      <c r="Q12" s="11">
        <f>IF(AND(ISNUMBER(J12),ISNUMBER(K12)),(K12-J12),"")</f>
        <v/>
      </c>
      <c r="R12" s="11">
        <f>IF(AND(ISNUMBER(K12),ISNUMBER(L12)),(L12-K12),"")</f>
        <v/>
      </c>
      <c r="S12" s="11">
        <f>IF(AND(ISNUMBER(F12),ISNUMBER(L12)),(L12-F12),"")</f>
        <v/>
      </c>
      <c r="T12" s="11">
        <f>IF(AND(ISNUMBER(D12),ISNUMBER(L12)),(L12-D12),"")</f>
        <v/>
      </c>
    </row>
    <row r="13">
      <c r="A13" s="3" t="inlineStr">
        <is>
          <t>12012</t>
        </is>
      </c>
      <c r="B13" s="9" t="n">
        <v>128</v>
      </c>
      <c r="C13" s="3" t="inlineStr">
        <is>
          <t>703</t>
        </is>
      </c>
      <c r="D13" s="10" t="n">
        <v>45664.54166666666</v>
      </c>
      <c r="E13" s="10" t="n">
        <v>45664.54166666666</v>
      </c>
      <c r="F13" s="10" t="n">
        <v>45664.54355324074</v>
      </c>
      <c r="G13" s="10" t="n">
        <v>45664.54355324074</v>
      </c>
      <c r="H13" s="10" t="n">
        <v>45664.54633101852</v>
      </c>
      <c r="I13" s="10" t="n">
        <v>45664.54831018519</v>
      </c>
      <c r="J13" s="10" t="n">
        <v>45664.54831018519</v>
      </c>
      <c r="K13" s="10" t="n">
        <v>45664.54918981482</v>
      </c>
      <c r="L13" s="10" t="n">
        <v>45664.55061342593</v>
      </c>
      <c r="M13" s="11">
        <f>IF(AND(ISNUMBER(D13),ISNUMBER(E13)),(E13-D13),"")</f>
        <v/>
      </c>
      <c r="N13" s="11">
        <f>IF(AND(ISNUMBER(E13),ISNUMBER(F13)),(F13-E13),"")</f>
        <v/>
      </c>
      <c r="O13" s="11">
        <f>IF(AND(ISNUMBER(G13),ISNUMBER(H13)),(H13-G13),"")</f>
        <v/>
      </c>
      <c r="P13" s="11">
        <f>IF(AND(ISNUMBER(H13),ISNUMBER(I13)),(I13-H13),"")</f>
        <v/>
      </c>
      <c r="Q13" s="11">
        <f>IF(AND(ISNUMBER(J13),ISNUMBER(K13)),(K13-J13),"")</f>
        <v/>
      </c>
      <c r="R13" s="11">
        <f>IF(AND(ISNUMBER(K13),ISNUMBER(L13)),(L13-K13),"")</f>
        <v/>
      </c>
      <c r="S13" s="11">
        <f>IF(AND(ISNUMBER(F13),ISNUMBER(L13)),(L13-F13),"")</f>
        <v/>
      </c>
      <c r="T13" s="11">
        <f>IF(AND(ISNUMBER(D13),ISNUMBER(L13)),(L13-D13),"")</f>
        <v/>
      </c>
    </row>
    <row r="14">
      <c r="A14" s="3" t="inlineStr">
        <is>
          <t>12013</t>
        </is>
      </c>
      <c r="B14" s="9" t="n">
        <v>80</v>
      </c>
      <c r="C14" s="3" t="inlineStr">
        <is>
          <t>703</t>
        </is>
      </c>
      <c r="D14" s="10" t="n">
        <v>45664.6875</v>
      </c>
      <c r="E14" s="10" t="n">
        <v>45664.6875</v>
      </c>
      <c r="F14" s="10" t="n">
        <v>45664.68927083333</v>
      </c>
      <c r="G14" s="10" t="n">
        <v>45664.68927083333</v>
      </c>
      <c r="H14" s="10" t="n">
        <v>45664.69204861111</v>
      </c>
      <c r="I14" s="10" t="n">
        <v>45664.69373842593</v>
      </c>
      <c r="J14" s="10" t="n">
        <v>45664.69373842593</v>
      </c>
      <c r="K14" s="10" t="n">
        <v>45664.69460648148</v>
      </c>
      <c r="L14" s="10" t="n">
        <v>45664.69671296296</v>
      </c>
      <c r="M14" s="11">
        <f>IF(AND(ISNUMBER(D14),ISNUMBER(E14)),(E14-D14),"")</f>
        <v/>
      </c>
      <c r="N14" s="11">
        <f>IF(AND(ISNUMBER(E14),ISNUMBER(F14)),(F14-E14),"")</f>
        <v/>
      </c>
      <c r="O14" s="11">
        <f>IF(AND(ISNUMBER(G14),ISNUMBER(H14)),(H14-G14),"")</f>
        <v/>
      </c>
      <c r="P14" s="11">
        <f>IF(AND(ISNUMBER(H14),ISNUMBER(I14)),(I14-H14),"")</f>
        <v/>
      </c>
      <c r="Q14" s="11">
        <f>IF(AND(ISNUMBER(J14),ISNUMBER(K14)),(K14-J14),"")</f>
        <v/>
      </c>
      <c r="R14" s="11">
        <f>IF(AND(ISNUMBER(K14),ISNUMBER(L14)),(L14-K14),"")</f>
        <v/>
      </c>
      <c r="S14" s="11">
        <f>IF(AND(ISNUMBER(F14),ISNUMBER(L14)),(L14-F14),"")</f>
        <v/>
      </c>
      <c r="T14" s="11">
        <f>IF(AND(ISNUMBER(D14),ISNUMBER(L14)),(L14-D14),"")</f>
        <v/>
      </c>
    </row>
    <row r="15">
      <c r="A15" s="3" t="inlineStr">
        <is>
          <t>12014</t>
        </is>
      </c>
      <c r="B15" s="9" t="n">
        <v>64</v>
      </c>
      <c r="C15" s="3" t="inlineStr">
        <is>
          <t>731</t>
        </is>
      </c>
      <c r="D15" s="10" t="n">
        <v>45664.83333333334</v>
      </c>
      <c r="E15" s="10" t="n">
        <v>45664.83333333334</v>
      </c>
      <c r="F15" s="10" t="n">
        <v>45664.83469907408</v>
      </c>
      <c r="G15" s="10" t="n">
        <v>45664.83469907408</v>
      </c>
      <c r="H15" s="10" t="n">
        <v>45664.83747685186</v>
      </c>
      <c r="I15" s="10" t="n">
        <v>45664.83896990741</v>
      </c>
      <c r="J15" s="10" t="n">
        <v>45664.83896990741</v>
      </c>
      <c r="K15" s="10" t="n">
        <v>45664.83984953703</v>
      </c>
      <c r="L15" s="10" t="n">
        <v>45664.84306712963</v>
      </c>
      <c r="M15" s="11">
        <f>IF(AND(ISNUMBER(D15),ISNUMBER(E15)),(E15-D15),"")</f>
        <v/>
      </c>
      <c r="N15" s="11">
        <f>IF(AND(ISNUMBER(E15),ISNUMBER(F15)),(F15-E15),"")</f>
        <v/>
      </c>
      <c r="O15" s="11">
        <f>IF(AND(ISNUMBER(G15),ISNUMBER(H15)),(H15-G15),"")</f>
        <v/>
      </c>
      <c r="P15" s="11">
        <f>IF(AND(ISNUMBER(H15),ISNUMBER(I15)),(I15-H15),"")</f>
        <v/>
      </c>
      <c r="Q15" s="11">
        <f>IF(AND(ISNUMBER(J15),ISNUMBER(K15)),(K15-J15),"")</f>
        <v/>
      </c>
      <c r="R15" s="11">
        <f>IF(AND(ISNUMBER(K15),ISNUMBER(L15)),(L15-K15),"")</f>
        <v/>
      </c>
      <c r="S15" s="11">
        <f>IF(AND(ISNUMBER(F15),ISNUMBER(L15)),(L15-F15),"")</f>
        <v/>
      </c>
      <c r="T15" s="11">
        <f>IF(AND(ISNUMBER(D15),ISNUMBER(L15)),(L15-D15),"")</f>
        <v/>
      </c>
    </row>
    <row r="16">
      <c r="A16" s="3" t="inlineStr">
        <is>
          <t>12015</t>
        </is>
      </c>
      <c r="B16" s="9" t="n">
        <v>192</v>
      </c>
      <c r="C16" s="3" t="inlineStr">
        <is>
          <t>703</t>
        </is>
      </c>
      <c r="D16" s="10" t="n">
        <v>45665.22916666666</v>
      </c>
      <c r="E16" s="10" t="n">
        <v>45665.22916666666</v>
      </c>
      <c r="F16" s="10" t="n">
        <v>45665.2312037037</v>
      </c>
      <c r="G16" s="10" t="n">
        <v>45665.2312037037</v>
      </c>
      <c r="H16" s="10" t="n">
        <v>45665.23398148148</v>
      </c>
      <c r="I16" s="10" t="n">
        <v>45665.23767361111</v>
      </c>
      <c r="J16" s="10" t="n">
        <v>45665.23767361111</v>
      </c>
      <c r="K16" s="10" t="n">
        <v>45665.24494212963</v>
      </c>
      <c r="L16" s="10" t="n">
        <v>45665.24899305555</v>
      </c>
      <c r="M16" s="11">
        <f>IF(AND(ISNUMBER(D16),ISNUMBER(E16)),(E16-D16),"")</f>
        <v/>
      </c>
      <c r="N16" s="11">
        <f>IF(AND(ISNUMBER(E16),ISNUMBER(F16)),(F16-E16),"")</f>
        <v/>
      </c>
      <c r="O16" s="11">
        <f>IF(AND(ISNUMBER(G16),ISNUMBER(H16)),(H16-G16),"")</f>
        <v/>
      </c>
      <c r="P16" s="11">
        <f>IF(AND(ISNUMBER(H16),ISNUMBER(I16)),(I16-H16),"")</f>
        <v/>
      </c>
      <c r="Q16" s="11">
        <f>IF(AND(ISNUMBER(J16),ISNUMBER(K16)),(K16-J16),"")</f>
        <v/>
      </c>
      <c r="R16" s="11">
        <f>IF(AND(ISNUMBER(K16),ISNUMBER(L16)),(L16-K16),"")</f>
        <v/>
      </c>
      <c r="S16" s="11">
        <f>IF(AND(ISNUMBER(F16),ISNUMBER(L16)),(L16-F16),"")</f>
        <v/>
      </c>
      <c r="T16" s="11">
        <f>IF(AND(ISNUMBER(D16),ISNUMBER(L16)),(L16-D16),"")</f>
        <v/>
      </c>
    </row>
    <row r="17">
      <c r="A17" s="3" t="inlineStr">
        <is>
          <t>12017</t>
        </is>
      </c>
      <c r="B17" s="9" t="n">
        <v>64</v>
      </c>
      <c r="C17" s="3" t="inlineStr">
        <is>
          <t>731</t>
        </is>
      </c>
      <c r="D17" s="10" t="n">
        <v>45665.22916666666</v>
      </c>
      <c r="E17" s="10" t="n">
        <v>45665.22916666666</v>
      </c>
      <c r="F17" s="10" t="n">
        <v>45665.2305324074</v>
      </c>
      <c r="G17" s="10" t="n">
        <v>45665.2305324074</v>
      </c>
      <c r="H17" s="10" t="n">
        <v>45665.23331018518</v>
      </c>
      <c r="I17" s="10" t="n">
        <v>45665.23486111111</v>
      </c>
      <c r="J17" s="10" t="n">
        <v>45665.23486111111</v>
      </c>
      <c r="K17" s="10" t="n">
        <v>45665.23659722223</v>
      </c>
      <c r="L17" s="10" t="n">
        <v>45665.24133101852</v>
      </c>
      <c r="M17" s="11">
        <f>IF(AND(ISNUMBER(D17),ISNUMBER(E17)),(E17-D17),"")</f>
        <v/>
      </c>
      <c r="N17" s="11">
        <f>IF(AND(ISNUMBER(E17),ISNUMBER(F17)),(F17-E17),"")</f>
        <v/>
      </c>
      <c r="O17" s="11">
        <f>IF(AND(ISNUMBER(G17),ISNUMBER(H17)),(H17-G17),"")</f>
        <v/>
      </c>
      <c r="P17" s="11">
        <f>IF(AND(ISNUMBER(H17),ISNUMBER(I17)),(I17-H17),"")</f>
        <v/>
      </c>
      <c r="Q17" s="11">
        <f>IF(AND(ISNUMBER(J17),ISNUMBER(K17)),(K17-J17),"")</f>
        <v/>
      </c>
      <c r="R17" s="11">
        <f>IF(AND(ISNUMBER(K17),ISNUMBER(L17)),(L17-K17),"")</f>
        <v/>
      </c>
      <c r="S17" s="11">
        <f>IF(AND(ISNUMBER(F17),ISNUMBER(L17)),(L17-F17),"")</f>
        <v/>
      </c>
      <c r="T17" s="11">
        <f>IF(AND(ISNUMBER(D17),ISNUMBER(L17)),(L17-D17),"")</f>
        <v/>
      </c>
    </row>
    <row r="18">
      <c r="A18" s="3" t="inlineStr">
        <is>
          <t>12016</t>
        </is>
      </c>
      <c r="B18" s="9" t="n">
        <v>96</v>
      </c>
      <c r="C18" s="3" t="inlineStr">
        <is>
          <t>727</t>
        </is>
      </c>
      <c r="D18" s="10" t="n">
        <v>45665.22916666666</v>
      </c>
      <c r="E18" s="10" t="n">
        <v>45665.22916666666</v>
      </c>
      <c r="F18" s="10" t="n">
        <v>45665.23054398148</v>
      </c>
      <c r="G18" s="10" t="n">
        <v>45665.23054398148</v>
      </c>
      <c r="H18" s="10" t="n">
        <v>45665.23332175926</v>
      </c>
      <c r="I18" s="10" t="n">
        <v>45665.23505787037</v>
      </c>
      <c r="J18" s="10" t="n">
        <v>45665.23505787037</v>
      </c>
      <c r="K18" s="10" t="n">
        <v>45665.24219907408</v>
      </c>
      <c r="L18" s="10" t="n">
        <v>45665.24407407407</v>
      </c>
      <c r="M18" s="11">
        <f>IF(AND(ISNUMBER(D18),ISNUMBER(E18)),(E18-D18),"")</f>
        <v/>
      </c>
      <c r="N18" s="11">
        <f>IF(AND(ISNUMBER(E18),ISNUMBER(F18)),(F18-E18),"")</f>
        <v/>
      </c>
      <c r="O18" s="11">
        <f>IF(AND(ISNUMBER(G18),ISNUMBER(H18)),(H18-G18),"")</f>
        <v/>
      </c>
      <c r="P18" s="11">
        <f>IF(AND(ISNUMBER(H18),ISNUMBER(I18)),(I18-H18),"")</f>
        <v/>
      </c>
      <c r="Q18" s="11">
        <f>IF(AND(ISNUMBER(J18),ISNUMBER(K18)),(K18-J18),"")</f>
        <v/>
      </c>
      <c r="R18" s="11">
        <f>IF(AND(ISNUMBER(K18),ISNUMBER(L18)),(L18-K18),"")</f>
        <v/>
      </c>
      <c r="S18" s="11">
        <f>IF(AND(ISNUMBER(F18),ISNUMBER(L18)),(L18-F18),"")</f>
        <v/>
      </c>
      <c r="T18" s="11">
        <f>IF(AND(ISNUMBER(D18),ISNUMBER(L18)),(L18-D18),"")</f>
        <v/>
      </c>
    </row>
    <row r="19">
      <c r="A19" s="3" t="inlineStr">
        <is>
          <t>12018</t>
        </is>
      </c>
      <c r="B19" s="9" t="n">
        <v>176</v>
      </c>
      <c r="C19" s="3" t="inlineStr">
        <is>
          <t>703</t>
        </is>
      </c>
      <c r="D19" s="10" t="n">
        <v>45665.375</v>
      </c>
      <c r="E19" s="10" t="n">
        <v>45665.375</v>
      </c>
      <c r="F19" s="10" t="n">
        <v>45665.37700231482</v>
      </c>
      <c r="G19" s="10" t="n">
        <v>45665.37700231482</v>
      </c>
      <c r="H19" s="10" t="n">
        <v>45665.37978009259</v>
      </c>
      <c r="I19" s="10" t="n">
        <v>45665.38222222222</v>
      </c>
      <c r="J19" s="10" t="n">
        <v>45665.38222222222</v>
      </c>
      <c r="K19" s="10" t="n">
        <v>45665.38309027778</v>
      </c>
      <c r="L19" s="10" t="n">
        <v>45665.38662037037</v>
      </c>
      <c r="M19" s="11">
        <f>IF(AND(ISNUMBER(D19),ISNUMBER(E19)),(E19-D19),"")</f>
        <v/>
      </c>
      <c r="N19" s="11">
        <f>IF(AND(ISNUMBER(E19),ISNUMBER(F19)),(F19-E19),"")</f>
        <v/>
      </c>
      <c r="O19" s="11">
        <f>IF(AND(ISNUMBER(G19),ISNUMBER(H19)),(H19-G19),"")</f>
        <v/>
      </c>
      <c r="P19" s="11">
        <f>IF(AND(ISNUMBER(H19),ISNUMBER(I19)),(I19-H19),"")</f>
        <v/>
      </c>
      <c r="Q19" s="11">
        <f>IF(AND(ISNUMBER(J19),ISNUMBER(K19)),(K19-J19),"")</f>
        <v/>
      </c>
      <c r="R19" s="11">
        <f>IF(AND(ISNUMBER(K19),ISNUMBER(L19)),(L19-K19),"")</f>
        <v/>
      </c>
      <c r="S19" s="11">
        <f>IF(AND(ISNUMBER(F19),ISNUMBER(L19)),(L19-F19),"")</f>
        <v/>
      </c>
      <c r="T19" s="11">
        <f>IF(AND(ISNUMBER(D19),ISNUMBER(L19)),(L19-D19),"")</f>
        <v/>
      </c>
    </row>
    <row r="20">
      <c r="A20" s="3" t="inlineStr">
        <is>
          <t>12019</t>
        </is>
      </c>
      <c r="B20" s="9" t="n">
        <v>144</v>
      </c>
      <c r="C20" s="3" t="inlineStr">
        <is>
          <t>727</t>
        </is>
      </c>
      <c r="D20" s="10" t="n">
        <v>45665.38055555556</v>
      </c>
      <c r="E20" s="10" t="n">
        <v>45665.38055555556</v>
      </c>
      <c r="F20" s="10" t="n">
        <v>45665.38203703704</v>
      </c>
      <c r="G20" s="10" t="n">
        <v>45665.38203703704</v>
      </c>
      <c r="H20" s="10" t="n">
        <v>45665.38481481482</v>
      </c>
      <c r="I20" s="10" t="n">
        <v>45665.38704861111</v>
      </c>
      <c r="J20" s="10" t="n">
        <v>45665.38704861111</v>
      </c>
      <c r="K20" s="10" t="n">
        <v>45665.38791666667</v>
      </c>
      <c r="L20" s="10" t="n">
        <v>45665.38991898148</v>
      </c>
      <c r="M20" s="11">
        <f>IF(AND(ISNUMBER(D20),ISNUMBER(E20)),(E20-D20),"")</f>
        <v/>
      </c>
      <c r="N20" s="11">
        <f>IF(AND(ISNUMBER(E20),ISNUMBER(F20)),(F20-E20),"")</f>
        <v/>
      </c>
      <c r="O20" s="11">
        <f>IF(AND(ISNUMBER(G20),ISNUMBER(H20)),(H20-G20),"")</f>
        <v/>
      </c>
      <c r="P20" s="11">
        <f>IF(AND(ISNUMBER(H20),ISNUMBER(I20)),(I20-H20),"")</f>
        <v/>
      </c>
      <c r="Q20" s="11">
        <f>IF(AND(ISNUMBER(J20),ISNUMBER(K20)),(K20-J20),"")</f>
        <v/>
      </c>
      <c r="R20" s="11">
        <f>IF(AND(ISNUMBER(K20),ISNUMBER(L20)),(L20-K20),"")</f>
        <v/>
      </c>
      <c r="S20" s="11">
        <f>IF(AND(ISNUMBER(F20),ISNUMBER(L20)),(L20-F20),"")</f>
        <v/>
      </c>
      <c r="T20" s="11">
        <f>IF(AND(ISNUMBER(D20),ISNUMBER(L20)),(L20-D20),"")</f>
        <v/>
      </c>
    </row>
    <row r="21">
      <c r="A21" s="3" t="inlineStr">
        <is>
          <t>12020</t>
        </is>
      </c>
      <c r="B21" s="9" t="n">
        <v>192</v>
      </c>
      <c r="C21" s="3" t="inlineStr">
        <is>
          <t>703</t>
        </is>
      </c>
      <c r="D21" s="10" t="n">
        <v>45665.39652777778</v>
      </c>
      <c r="E21" s="10" t="n">
        <v>45665.39652777778</v>
      </c>
      <c r="F21" s="10" t="n">
        <v>45665.39856481482</v>
      </c>
      <c r="G21" s="10" t="n">
        <v>45665.39856481482</v>
      </c>
      <c r="H21" s="10" t="n">
        <v>45665.4013425926</v>
      </c>
      <c r="I21" s="10" t="n">
        <v>45665.40375</v>
      </c>
      <c r="J21" s="10" t="n">
        <v>45665.40375</v>
      </c>
      <c r="K21" s="10" t="n">
        <v>45665.40461805555</v>
      </c>
      <c r="L21" s="10" t="n">
        <v>45665.40802083333</v>
      </c>
      <c r="M21" s="11">
        <f>IF(AND(ISNUMBER(D21),ISNUMBER(E21)),(E21-D21),"")</f>
        <v/>
      </c>
      <c r="N21" s="11">
        <f>IF(AND(ISNUMBER(E21),ISNUMBER(F21)),(F21-E21),"")</f>
        <v/>
      </c>
      <c r="O21" s="11">
        <f>IF(AND(ISNUMBER(G21),ISNUMBER(H21)),(H21-G21),"")</f>
        <v/>
      </c>
      <c r="P21" s="11">
        <f>IF(AND(ISNUMBER(H21),ISNUMBER(I21)),(I21-H21),"")</f>
        <v/>
      </c>
      <c r="Q21" s="11">
        <f>IF(AND(ISNUMBER(J21),ISNUMBER(K21)),(K21-J21),"")</f>
        <v/>
      </c>
      <c r="R21" s="11">
        <f>IF(AND(ISNUMBER(K21),ISNUMBER(L21)),(L21-K21),"")</f>
        <v/>
      </c>
      <c r="S21" s="11">
        <f>IF(AND(ISNUMBER(F21),ISNUMBER(L21)),(L21-F21),"")</f>
        <v/>
      </c>
      <c r="T21" s="11">
        <f>IF(AND(ISNUMBER(D21),ISNUMBER(L21)),(L21-D21),"")</f>
        <v/>
      </c>
    </row>
    <row r="22">
      <c r="A22" s="3" t="inlineStr">
        <is>
          <t>12021</t>
        </is>
      </c>
      <c r="B22" s="9" t="n">
        <v>160</v>
      </c>
      <c r="C22" s="3" t="inlineStr">
        <is>
          <t>727</t>
        </is>
      </c>
      <c r="D22" s="10" t="n">
        <v>45665.40277777778</v>
      </c>
      <c r="E22" s="10" t="n">
        <v>45665.40277777778</v>
      </c>
      <c r="F22" s="10" t="n">
        <v>45665.40430555555</v>
      </c>
      <c r="G22" s="10" t="n">
        <v>45665.40430555555</v>
      </c>
      <c r="H22" s="10" t="n">
        <v>45665.40708333333</v>
      </c>
      <c r="I22" s="10" t="n">
        <v>45665.40930555556</v>
      </c>
      <c r="J22" s="10" t="n">
        <v>45665.40930555556</v>
      </c>
      <c r="K22" s="10" t="n">
        <v>45665.41017361111</v>
      </c>
      <c r="L22" s="10" t="n">
        <v>45665.41243055555</v>
      </c>
      <c r="M22" s="11">
        <f>IF(AND(ISNUMBER(D22),ISNUMBER(E22)),(E22-D22),"")</f>
        <v/>
      </c>
      <c r="N22" s="11">
        <f>IF(AND(ISNUMBER(E22),ISNUMBER(F22)),(F22-E22),"")</f>
        <v/>
      </c>
      <c r="O22" s="11">
        <f>IF(AND(ISNUMBER(G22),ISNUMBER(H22)),(H22-G22),"")</f>
        <v/>
      </c>
      <c r="P22" s="11">
        <f>IF(AND(ISNUMBER(H22),ISNUMBER(I22)),(I22-H22),"")</f>
        <v/>
      </c>
      <c r="Q22" s="11">
        <f>IF(AND(ISNUMBER(J22),ISNUMBER(K22)),(K22-J22),"")</f>
        <v/>
      </c>
      <c r="R22" s="11">
        <f>IF(AND(ISNUMBER(K22),ISNUMBER(L22)),(L22-K22),"")</f>
        <v/>
      </c>
      <c r="S22" s="11">
        <f>IF(AND(ISNUMBER(F22),ISNUMBER(L22)),(L22-F22),"")</f>
        <v/>
      </c>
      <c r="T22" s="11">
        <f>IF(AND(ISNUMBER(D22),ISNUMBER(L22)),(L22-D22),"")</f>
        <v/>
      </c>
    </row>
    <row r="23">
      <c r="A23" s="3" t="inlineStr">
        <is>
          <t>12022</t>
        </is>
      </c>
      <c r="B23" s="9" t="n">
        <v>256</v>
      </c>
      <c r="C23" s="3" t="inlineStr">
        <is>
          <t>703</t>
        </is>
      </c>
      <c r="D23" s="10" t="n">
        <v>45665.42013888889</v>
      </c>
      <c r="E23" s="10" t="n">
        <v>45665.42013888889</v>
      </c>
      <c r="F23" s="10" t="n">
        <v>45665.42232638889</v>
      </c>
      <c r="G23" s="10" t="n">
        <v>45665.42232638889</v>
      </c>
      <c r="H23" s="10" t="n">
        <v>45665.42510416666</v>
      </c>
      <c r="I23" s="10" t="n">
        <v>45665.42826388889</v>
      </c>
      <c r="J23" s="10" t="n">
        <v>45665.42826388889</v>
      </c>
      <c r="K23" s="10" t="n">
        <v>45665.42913194445</v>
      </c>
      <c r="L23" s="10" t="n">
        <v>45665.43265046296</v>
      </c>
      <c r="M23" s="11">
        <f>IF(AND(ISNUMBER(D23),ISNUMBER(E23)),(E23-D23),"")</f>
        <v/>
      </c>
      <c r="N23" s="11">
        <f>IF(AND(ISNUMBER(E23),ISNUMBER(F23)),(F23-E23),"")</f>
        <v/>
      </c>
      <c r="O23" s="11">
        <f>IF(AND(ISNUMBER(G23),ISNUMBER(H23)),(H23-G23),"")</f>
        <v/>
      </c>
      <c r="P23" s="11">
        <f>IF(AND(ISNUMBER(H23),ISNUMBER(I23)),(I23-H23),"")</f>
        <v/>
      </c>
      <c r="Q23" s="11">
        <f>IF(AND(ISNUMBER(J23),ISNUMBER(K23)),(K23-J23),"")</f>
        <v/>
      </c>
      <c r="R23" s="11">
        <f>IF(AND(ISNUMBER(K23),ISNUMBER(L23)),(L23-K23),"")</f>
        <v/>
      </c>
      <c r="S23" s="11">
        <f>IF(AND(ISNUMBER(F23),ISNUMBER(L23)),(L23-F23),"")</f>
        <v/>
      </c>
      <c r="T23" s="11">
        <f>IF(AND(ISNUMBER(D23),ISNUMBER(L23)),(L23-D23),"")</f>
        <v/>
      </c>
    </row>
    <row r="24">
      <c r="A24" s="3" t="inlineStr">
        <is>
          <t>12023</t>
        </is>
      </c>
      <c r="B24" s="9" t="n">
        <v>160</v>
      </c>
      <c r="C24" s="3" t="inlineStr">
        <is>
          <t>703</t>
        </is>
      </c>
      <c r="D24" s="10" t="n">
        <v>45665.59375</v>
      </c>
      <c r="E24" s="10" t="n">
        <v>45665.59375</v>
      </c>
      <c r="F24" s="10" t="n">
        <v>45665.59570601852</v>
      </c>
      <c r="G24" s="10" t="n">
        <v>45665.59570601852</v>
      </c>
      <c r="H24" s="10" t="n">
        <v>45665.5984837963</v>
      </c>
      <c r="I24" s="10" t="n">
        <v>45665.60101851852</v>
      </c>
      <c r="J24" s="10" t="n">
        <v>45665.60101851852</v>
      </c>
      <c r="K24" s="10" t="n">
        <v>45665.60188657408</v>
      </c>
      <c r="L24" s="10" t="n">
        <v>45665.60506944444</v>
      </c>
      <c r="M24" s="11">
        <f>IF(AND(ISNUMBER(D24),ISNUMBER(E24)),(E24-D24),"")</f>
        <v/>
      </c>
      <c r="N24" s="11">
        <f>IF(AND(ISNUMBER(E24),ISNUMBER(F24)),(F24-E24),"")</f>
        <v/>
      </c>
      <c r="O24" s="11">
        <f>IF(AND(ISNUMBER(G24),ISNUMBER(H24)),(H24-G24),"")</f>
        <v/>
      </c>
      <c r="P24" s="11">
        <f>IF(AND(ISNUMBER(H24),ISNUMBER(I24)),(I24-H24),"")</f>
        <v/>
      </c>
      <c r="Q24" s="11">
        <f>IF(AND(ISNUMBER(J24),ISNUMBER(K24)),(K24-J24),"")</f>
        <v/>
      </c>
      <c r="R24" s="11">
        <f>IF(AND(ISNUMBER(K24),ISNUMBER(L24)),(L24-K24),"")</f>
        <v/>
      </c>
      <c r="S24" s="11">
        <f>IF(AND(ISNUMBER(F24),ISNUMBER(L24)),(L24-F24),"")</f>
        <v/>
      </c>
      <c r="T24" s="11">
        <f>IF(AND(ISNUMBER(D24),ISNUMBER(L24)),(L24-D24),"")</f>
        <v/>
      </c>
    </row>
    <row r="25">
      <c r="A25" s="3" t="inlineStr">
        <is>
          <t>12024</t>
        </is>
      </c>
      <c r="B25" s="9" t="n">
        <v>112</v>
      </c>
      <c r="C25" s="3" t="inlineStr">
        <is>
          <t>703</t>
        </is>
      </c>
      <c r="D25" s="10" t="n">
        <v>45665.75</v>
      </c>
      <c r="E25" s="10" t="n">
        <v>45665.75</v>
      </c>
      <c r="F25" s="10" t="n">
        <v>45665.75185185186</v>
      </c>
      <c r="G25" s="10" t="n">
        <v>45665.75185185186</v>
      </c>
      <c r="H25" s="10" t="n">
        <v>45665.75462962963</v>
      </c>
      <c r="I25" s="10" t="n">
        <v>45665.75649305555</v>
      </c>
      <c r="J25" s="10" t="n">
        <v>45665.75649305555</v>
      </c>
      <c r="K25" s="10" t="n">
        <v>45665.75736111111</v>
      </c>
      <c r="L25" s="10" t="n">
        <v>45665.75873842592</v>
      </c>
      <c r="M25" s="11">
        <f>IF(AND(ISNUMBER(D25),ISNUMBER(E25)),(E25-D25),"")</f>
        <v/>
      </c>
      <c r="N25" s="11">
        <f>IF(AND(ISNUMBER(E25),ISNUMBER(F25)),(F25-E25),"")</f>
        <v/>
      </c>
      <c r="O25" s="11">
        <f>IF(AND(ISNUMBER(G25),ISNUMBER(H25)),(H25-G25),"")</f>
        <v/>
      </c>
      <c r="P25" s="11">
        <f>IF(AND(ISNUMBER(H25),ISNUMBER(I25)),(I25-H25),"")</f>
        <v/>
      </c>
      <c r="Q25" s="11">
        <f>IF(AND(ISNUMBER(J25),ISNUMBER(K25)),(K25-J25),"")</f>
        <v/>
      </c>
      <c r="R25" s="11">
        <f>IF(AND(ISNUMBER(K25),ISNUMBER(L25)),(L25-K25),"")</f>
        <v/>
      </c>
      <c r="S25" s="11">
        <f>IF(AND(ISNUMBER(F25),ISNUMBER(L25)),(L25-F25),"")</f>
        <v/>
      </c>
      <c r="T25" s="11">
        <f>IF(AND(ISNUMBER(D25),ISNUMBER(L25)),(L25-D25),"")</f>
        <v/>
      </c>
    </row>
    <row r="26">
      <c r="A26" s="3" t="inlineStr">
        <is>
          <t>12025</t>
        </is>
      </c>
      <c r="B26" s="9" t="n">
        <v>256</v>
      </c>
      <c r="C26" s="3" t="inlineStr">
        <is>
          <t>703</t>
        </is>
      </c>
      <c r="D26" s="10" t="n">
        <v>45665.89583333334</v>
      </c>
      <c r="E26" s="10" t="n">
        <v>45665.89583333334</v>
      </c>
      <c r="F26" s="10" t="n">
        <v>45665.89802083333</v>
      </c>
      <c r="G26" s="10" t="n">
        <v>45665.89802083333</v>
      </c>
      <c r="H26" s="10" t="n">
        <v>45665.90079861111</v>
      </c>
      <c r="I26" s="10" t="n">
        <v>45665.90416666667</v>
      </c>
      <c r="J26" s="10" t="n">
        <v>45665.90416666667</v>
      </c>
      <c r="K26" s="10" t="n">
        <v>45665.90503472222</v>
      </c>
      <c r="L26" s="10" t="n">
        <v>45665.90674768519</v>
      </c>
      <c r="M26" s="11">
        <f>IF(AND(ISNUMBER(D26),ISNUMBER(E26)),(E26-D26),"")</f>
        <v/>
      </c>
      <c r="N26" s="11">
        <f>IF(AND(ISNUMBER(E26),ISNUMBER(F26)),(F26-E26),"")</f>
        <v/>
      </c>
      <c r="O26" s="11">
        <f>IF(AND(ISNUMBER(G26),ISNUMBER(H26)),(H26-G26),"")</f>
        <v/>
      </c>
      <c r="P26" s="11">
        <f>IF(AND(ISNUMBER(H26),ISNUMBER(I26)),(I26-H26),"")</f>
        <v/>
      </c>
      <c r="Q26" s="11">
        <f>IF(AND(ISNUMBER(J26),ISNUMBER(K26)),(K26-J26),"")</f>
        <v/>
      </c>
      <c r="R26" s="11">
        <f>IF(AND(ISNUMBER(K26),ISNUMBER(L26)),(L26-K26),"")</f>
        <v/>
      </c>
      <c r="S26" s="11">
        <f>IF(AND(ISNUMBER(F26),ISNUMBER(L26)),(L26-F26),"")</f>
        <v/>
      </c>
      <c r="T26" s="11">
        <f>IF(AND(ISNUMBER(D26),ISNUMBER(L26)),(L26-D26),"")</f>
        <v/>
      </c>
    </row>
    <row r="27">
      <c r="A27" s="3" t="inlineStr">
        <is>
          <t>12026</t>
        </is>
      </c>
      <c r="B27" s="9" t="n">
        <v>128</v>
      </c>
      <c r="C27" s="3" t="inlineStr">
        <is>
          <t>703</t>
        </is>
      </c>
      <c r="D27" s="10" t="n">
        <v>45666.20833333334</v>
      </c>
      <c r="E27" s="10" t="n">
        <v>45666.20833333334</v>
      </c>
      <c r="F27" s="10" t="n">
        <v>45666.21021990741</v>
      </c>
      <c r="G27" s="10" t="n">
        <v>45666.21021990741</v>
      </c>
      <c r="H27" s="10" t="n">
        <v>45666.21299768519</v>
      </c>
      <c r="I27" s="10" t="n">
        <v>45666.21497685185</v>
      </c>
      <c r="J27" s="10" t="n">
        <v>45666.21497685185</v>
      </c>
      <c r="K27" s="10" t="n">
        <v>45666.2158449074</v>
      </c>
      <c r="L27" s="10" t="n">
        <v>45666.21850694445</v>
      </c>
      <c r="M27" s="11">
        <f>IF(AND(ISNUMBER(D27),ISNUMBER(E27)),(E27-D27),"")</f>
        <v/>
      </c>
      <c r="N27" s="11">
        <f>IF(AND(ISNUMBER(E27),ISNUMBER(F27)),(F27-E27),"")</f>
        <v/>
      </c>
      <c r="O27" s="11">
        <f>IF(AND(ISNUMBER(G27),ISNUMBER(H27)),(H27-G27),"")</f>
        <v/>
      </c>
      <c r="P27" s="11">
        <f>IF(AND(ISNUMBER(H27),ISNUMBER(I27)),(I27-H27),"")</f>
        <v/>
      </c>
      <c r="Q27" s="11">
        <f>IF(AND(ISNUMBER(J27),ISNUMBER(K27)),(K27-J27),"")</f>
        <v/>
      </c>
      <c r="R27" s="11">
        <f>IF(AND(ISNUMBER(K27),ISNUMBER(L27)),(L27-K27),"")</f>
        <v/>
      </c>
      <c r="S27" s="11">
        <f>IF(AND(ISNUMBER(F27),ISNUMBER(L27)),(L27-F27),"")</f>
        <v/>
      </c>
      <c r="T27" s="11">
        <f>IF(AND(ISNUMBER(D27),ISNUMBER(L27)),(L27-D27),"")</f>
        <v/>
      </c>
    </row>
    <row r="28">
      <c r="A28" s="3" t="inlineStr">
        <is>
          <t>12027</t>
        </is>
      </c>
      <c r="B28" s="9" t="n">
        <v>176</v>
      </c>
      <c r="C28" s="3" t="inlineStr">
        <is>
          <t>727</t>
        </is>
      </c>
      <c r="D28" s="10" t="n">
        <v>45666.21458333333</v>
      </c>
      <c r="E28" s="10" t="n">
        <v>45666.21458333333</v>
      </c>
      <c r="F28" s="10" t="n">
        <v>45666.21614583334</v>
      </c>
      <c r="G28" s="10" t="n">
        <v>45666.21614583334</v>
      </c>
      <c r="H28" s="10" t="n">
        <v>45666.21892361111</v>
      </c>
      <c r="I28" s="10" t="n">
        <v>45666.22127314815</v>
      </c>
      <c r="J28" s="10" t="n">
        <v>45666.22127314815</v>
      </c>
      <c r="K28" s="10" t="n">
        <v>45666.2221412037</v>
      </c>
      <c r="L28" s="10" t="n">
        <v>45666.22451388889</v>
      </c>
      <c r="M28" s="11">
        <f>IF(AND(ISNUMBER(D28),ISNUMBER(E28)),(E28-D28),"")</f>
        <v/>
      </c>
      <c r="N28" s="11">
        <f>IF(AND(ISNUMBER(E28),ISNUMBER(F28)),(F28-E28),"")</f>
        <v/>
      </c>
      <c r="O28" s="11">
        <f>IF(AND(ISNUMBER(G28),ISNUMBER(H28)),(H28-G28),"")</f>
        <v/>
      </c>
      <c r="P28" s="11">
        <f>IF(AND(ISNUMBER(H28),ISNUMBER(I28)),(I28-H28),"")</f>
        <v/>
      </c>
      <c r="Q28" s="11">
        <f>IF(AND(ISNUMBER(J28),ISNUMBER(K28)),(K28-J28),"")</f>
        <v/>
      </c>
      <c r="R28" s="11">
        <f>IF(AND(ISNUMBER(K28),ISNUMBER(L28)),(L28-K28),"")</f>
        <v/>
      </c>
      <c r="S28" s="11">
        <f>IF(AND(ISNUMBER(F28),ISNUMBER(L28)),(L28-F28),"")</f>
        <v/>
      </c>
      <c r="T28" s="11">
        <f>IF(AND(ISNUMBER(D28),ISNUMBER(L28)),(L28-D28),"")</f>
        <v/>
      </c>
    </row>
    <row r="29">
      <c r="A29" s="3" t="inlineStr">
        <is>
          <t>12028</t>
        </is>
      </c>
      <c r="B29" s="9" t="n">
        <v>176</v>
      </c>
      <c r="C29" s="3" t="inlineStr">
        <is>
          <t>703</t>
        </is>
      </c>
      <c r="D29" s="10" t="n">
        <v>45666.22152777778</v>
      </c>
      <c r="E29" s="10" t="n">
        <v>45666.22152777778</v>
      </c>
      <c r="F29" s="10" t="n">
        <v>45666.22353009259</v>
      </c>
      <c r="G29" s="10" t="n">
        <v>45666.22353009259</v>
      </c>
      <c r="H29" s="10" t="n">
        <v>45666.22630787037</v>
      </c>
      <c r="I29" s="10" t="n">
        <v>45666.2306712963</v>
      </c>
      <c r="J29" s="10" t="n">
        <v>45666.2306712963</v>
      </c>
      <c r="K29" s="10" t="n">
        <v>45666.23145833334</v>
      </c>
      <c r="L29" s="10" t="n">
        <v>45666.23824074074</v>
      </c>
      <c r="M29" s="11">
        <f>IF(AND(ISNUMBER(D29),ISNUMBER(E29)),(E29-D29),"")</f>
        <v/>
      </c>
      <c r="N29" s="11">
        <f>IF(AND(ISNUMBER(E29),ISNUMBER(F29)),(F29-E29),"")</f>
        <v/>
      </c>
      <c r="O29" s="11">
        <f>IF(AND(ISNUMBER(G29),ISNUMBER(H29)),(H29-G29),"")</f>
        <v/>
      </c>
      <c r="P29" s="11">
        <f>IF(AND(ISNUMBER(H29),ISNUMBER(I29)),(I29-H29),"")</f>
        <v/>
      </c>
      <c r="Q29" s="11">
        <f>IF(AND(ISNUMBER(J29),ISNUMBER(K29)),(K29-J29),"")</f>
        <v/>
      </c>
      <c r="R29" s="11">
        <f>IF(AND(ISNUMBER(K29),ISNUMBER(L29)),(L29-K29),"")</f>
        <v/>
      </c>
      <c r="S29" s="11">
        <f>IF(AND(ISNUMBER(F29),ISNUMBER(L29)),(L29-F29),"")</f>
        <v/>
      </c>
      <c r="T29" s="11">
        <f>IF(AND(ISNUMBER(D29),ISNUMBER(L29)),(L29-D29),"")</f>
        <v/>
      </c>
    </row>
    <row r="30">
      <c r="A30" s="3" t="inlineStr">
        <is>
          <t>12029</t>
        </is>
      </c>
      <c r="B30" s="9" t="n">
        <v>208</v>
      </c>
      <c r="C30" s="3" t="inlineStr">
        <is>
          <t>727</t>
        </is>
      </c>
      <c r="D30" s="10" t="n">
        <v>45666.22777777778</v>
      </c>
      <c r="E30" s="10" t="n">
        <v>45666.22777777778</v>
      </c>
      <c r="F30" s="10" t="n">
        <v>45666.22940972223</v>
      </c>
      <c r="G30" s="10" t="n">
        <v>45666.22940972223</v>
      </c>
      <c r="H30" s="10" t="n">
        <v>45666.2321875</v>
      </c>
      <c r="I30" s="10" t="n">
        <v>45666.23513888889</v>
      </c>
      <c r="J30" s="10" t="n">
        <v>45666.23513888889</v>
      </c>
      <c r="K30" s="10" t="n">
        <v>45666.2391087963</v>
      </c>
      <c r="L30" s="10" t="n">
        <v>45666.24079861111</v>
      </c>
      <c r="M30" s="11">
        <f>IF(AND(ISNUMBER(D30),ISNUMBER(E30)),(E30-D30),"")</f>
        <v/>
      </c>
      <c r="N30" s="11">
        <f>IF(AND(ISNUMBER(E30),ISNUMBER(F30)),(F30-E30),"")</f>
        <v/>
      </c>
      <c r="O30" s="11">
        <f>IF(AND(ISNUMBER(G30),ISNUMBER(H30)),(H30-G30),"")</f>
        <v/>
      </c>
      <c r="P30" s="11">
        <f>IF(AND(ISNUMBER(H30),ISNUMBER(I30)),(I30-H30),"")</f>
        <v/>
      </c>
      <c r="Q30" s="11">
        <f>IF(AND(ISNUMBER(J30),ISNUMBER(K30)),(K30-J30),"")</f>
        <v/>
      </c>
      <c r="R30" s="11">
        <f>IF(AND(ISNUMBER(K30),ISNUMBER(L30)),(L30-K30),"")</f>
        <v/>
      </c>
      <c r="S30" s="11">
        <f>IF(AND(ISNUMBER(F30),ISNUMBER(L30)),(L30-F30),"")</f>
        <v/>
      </c>
      <c r="T30" s="11">
        <f>IF(AND(ISNUMBER(D30),ISNUMBER(L30)),(L30-D30),"")</f>
        <v/>
      </c>
    </row>
    <row r="31">
      <c r="A31" s="3" t="inlineStr">
        <is>
          <t>12030</t>
        </is>
      </c>
      <c r="B31" s="9" t="n">
        <v>144</v>
      </c>
      <c r="C31" s="3" t="inlineStr">
        <is>
          <t>725</t>
        </is>
      </c>
      <c r="D31" s="10" t="n">
        <v>45666.23125</v>
      </c>
      <c r="E31" s="10" t="n">
        <v>45666.23125</v>
      </c>
      <c r="F31" s="10" t="n">
        <v>45666.23256944444</v>
      </c>
      <c r="G31" s="10" t="n">
        <v>45666.23256944444</v>
      </c>
      <c r="H31" s="10" t="n">
        <v>45666.23534722222</v>
      </c>
      <c r="I31" s="10" t="n">
        <v>45666.2374537037</v>
      </c>
      <c r="J31" s="10" t="n">
        <v>45666.2374537037</v>
      </c>
      <c r="K31" s="10" t="n">
        <v>45666.24159722222</v>
      </c>
      <c r="L31" s="10" t="n">
        <v>45666.24347222222</v>
      </c>
      <c r="M31" s="11">
        <f>IF(AND(ISNUMBER(D31),ISNUMBER(E31)),(E31-D31),"")</f>
        <v/>
      </c>
      <c r="N31" s="11">
        <f>IF(AND(ISNUMBER(E31),ISNUMBER(F31)),(F31-E31),"")</f>
        <v/>
      </c>
      <c r="O31" s="11">
        <f>IF(AND(ISNUMBER(G31),ISNUMBER(H31)),(H31-G31),"")</f>
        <v/>
      </c>
      <c r="P31" s="11">
        <f>IF(AND(ISNUMBER(H31),ISNUMBER(I31)),(I31-H31),"")</f>
        <v/>
      </c>
      <c r="Q31" s="11">
        <f>IF(AND(ISNUMBER(J31),ISNUMBER(K31)),(K31-J31),"")</f>
        <v/>
      </c>
      <c r="R31" s="11">
        <f>IF(AND(ISNUMBER(K31),ISNUMBER(L31)),(L31-K31),"")</f>
        <v/>
      </c>
      <c r="S31" s="11">
        <f>IF(AND(ISNUMBER(F31),ISNUMBER(L31)),(L31-F31),"")</f>
        <v/>
      </c>
      <c r="T31" s="11">
        <f>IF(AND(ISNUMBER(D31),ISNUMBER(L31)),(L31-D31),"")</f>
        <v/>
      </c>
    </row>
    <row r="32">
      <c r="A32" s="3" t="inlineStr">
        <is>
          <t>12031</t>
        </is>
      </c>
      <c r="B32" s="9" t="n">
        <v>96</v>
      </c>
      <c r="C32" s="3" t="inlineStr">
        <is>
          <t>723</t>
        </is>
      </c>
      <c r="D32" s="10" t="n">
        <v>45666.23472222222</v>
      </c>
      <c r="E32" s="10" t="n">
        <v>45666.23472222222</v>
      </c>
      <c r="F32" s="10" t="n">
        <v>45666.23584490741</v>
      </c>
      <c r="G32" s="10" t="n">
        <v>45666.23584490741</v>
      </c>
      <c r="H32" s="10" t="n">
        <v>45666.23878472222</v>
      </c>
      <c r="I32" s="10" t="n">
        <v>45666.24077546296</v>
      </c>
      <c r="J32" s="10" t="n">
        <v>45666.24077546296</v>
      </c>
      <c r="K32" s="10" t="n">
        <v>45666.24435185185</v>
      </c>
      <c r="L32" s="10" t="n">
        <v>45666.24623842593</v>
      </c>
      <c r="M32" s="11">
        <f>IF(AND(ISNUMBER(D32),ISNUMBER(E32)),(E32-D32),"")</f>
        <v/>
      </c>
      <c r="N32" s="11">
        <f>IF(AND(ISNUMBER(E32),ISNUMBER(F32)),(F32-E32),"")</f>
        <v/>
      </c>
      <c r="O32" s="11">
        <f>IF(AND(ISNUMBER(G32),ISNUMBER(H32)),(H32-G32),"")</f>
        <v/>
      </c>
      <c r="P32" s="11">
        <f>IF(AND(ISNUMBER(H32),ISNUMBER(I32)),(I32-H32),"")</f>
        <v/>
      </c>
      <c r="Q32" s="11">
        <f>IF(AND(ISNUMBER(J32),ISNUMBER(K32)),(K32-J32),"")</f>
        <v/>
      </c>
      <c r="R32" s="11">
        <f>IF(AND(ISNUMBER(K32),ISNUMBER(L32)),(L32-K32),"")</f>
        <v/>
      </c>
      <c r="S32" s="11">
        <f>IF(AND(ISNUMBER(F32),ISNUMBER(L32)),(L32-F32),"")</f>
        <v/>
      </c>
      <c r="T32" s="11">
        <f>IF(AND(ISNUMBER(D32),ISNUMBER(L32)),(L32-D32),"")</f>
        <v/>
      </c>
    </row>
    <row r="33">
      <c r="A33" s="3" t="inlineStr">
        <is>
          <t>12032</t>
        </is>
      </c>
      <c r="B33" s="9" t="n">
        <v>160</v>
      </c>
      <c r="C33" s="3" t="inlineStr">
        <is>
          <t>703</t>
        </is>
      </c>
      <c r="D33" s="10" t="n">
        <v>45666.23958333334</v>
      </c>
      <c r="E33" s="10" t="n">
        <v>45666.23958333334</v>
      </c>
      <c r="F33" s="10" t="n">
        <v>45666.24153935185</v>
      </c>
      <c r="G33" s="10" t="n">
        <v>45666.24153935185</v>
      </c>
      <c r="H33" s="10" t="n">
        <v>45666.24431712963</v>
      </c>
      <c r="I33" s="10" t="n">
        <v>45666.24655092593</v>
      </c>
      <c r="J33" s="10" t="n">
        <v>45666.24655092593</v>
      </c>
      <c r="K33" s="10" t="n">
        <v>45666.24797453704</v>
      </c>
      <c r="L33" s="10" t="n">
        <v>45666.25005787037</v>
      </c>
      <c r="M33" s="11">
        <f>IF(AND(ISNUMBER(D33),ISNUMBER(E33)),(E33-D33),"")</f>
        <v/>
      </c>
      <c r="N33" s="11">
        <f>IF(AND(ISNUMBER(E33),ISNUMBER(F33)),(F33-E33),"")</f>
        <v/>
      </c>
      <c r="O33" s="11">
        <f>IF(AND(ISNUMBER(G33),ISNUMBER(H33)),(H33-G33),"")</f>
        <v/>
      </c>
      <c r="P33" s="11">
        <f>IF(AND(ISNUMBER(H33),ISNUMBER(I33)),(I33-H33),"")</f>
        <v/>
      </c>
      <c r="Q33" s="11">
        <f>IF(AND(ISNUMBER(J33),ISNUMBER(K33)),(K33-J33),"")</f>
        <v/>
      </c>
      <c r="R33" s="11">
        <f>IF(AND(ISNUMBER(K33),ISNUMBER(L33)),(L33-K33),"")</f>
        <v/>
      </c>
      <c r="S33" s="11">
        <f>IF(AND(ISNUMBER(F33),ISNUMBER(L33)),(L33-F33),"")</f>
        <v/>
      </c>
      <c r="T33" s="11">
        <f>IF(AND(ISNUMBER(D33),ISNUMBER(L33)),(L33-D33),"")</f>
        <v/>
      </c>
    </row>
    <row r="34">
      <c r="A34" s="3" t="inlineStr">
        <is>
          <t>12033</t>
        </is>
      </c>
      <c r="B34" s="9" t="n">
        <v>176</v>
      </c>
      <c r="C34" s="3" t="inlineStr">
        <is>
          <t>727</t>
        </is>
      </c>
      <c r="D34" s="10" t="n">
        <v>45666.24444444444</v>
      </c>
      <c r="E34" s="10" t="n">
        <v>45666.24444444444</v>
      </c>
      <c r="F34" s="10" t="n">
        <v>45666.24600694444</v>
      </c>
      <c r="G34" s="10" t="n">
        <v>45666.24600694444</v>
      </c>
      <c r="H34" s="10" t="n">
        <v>45666.24878472222</v>
      </c>
      <c r="I34" s="10" t="n">
        <v>45666.25203703704</v>
      </c>
      <c r="J34" s="10" t="n">
        <v>45666.25203703704</v>
      </c>
      <c r="K34" s="10" t="n">
        <v>45666.2529050926</v>
      </c>
      <c r="L34" s="10" t="n">
        <v>45666.25806712963</v>
      </c>
      <c r="M34" s="11">
        <f>IF(AND(ISNUMBER(D34),ISNUMBER(E34)),(E34-D34),"")</f>
        <v/>
      </c>
      <c r="N34" s="11">
        <f>IF(AND(ISNUMBER(E34),ISNUMBER(F34)),(F34-E34),"")</f>
        <v/>
      </c>
      <c r="O34" s="11">
        <f>IF(AND(ISNUMBER(G34),ISNUMBER(H34)),(H34-G34),"")</f>
        <v/>
      </c>
      <c r="P34" s="11">
        <f>IF(AND(ISNUMBER(H34),ISNUMBER(I34)),(I34-H34),"")</f>
        <v/>
      </c>
      <c r="Q34" s="11">
        <f>IF(AND(ISNUMBER(J34),ISNUMBER(K34)),(K34-J34),"")</f>
        <v/>
      </c>
      <c r="R34" s="11">
        <f>IF(AND(ISNUMBER(K34),ISNUMBER(L34)),(L34-K34),"")</f>
        <v/>
      </c>
      <c r="S34" s="11">
        <f>IF(AND(ISNUMBER(F34),ISNUMBER(L34)),(L34-F34),"")</f>
        <v/>
      </c>
      <c r="T34" s="11">
        <f>IF(AND(ISNUMBER(D34),ISNUMBER(L34)),(L34-D34),"")</f>
        <v/>
      </c>
    </row>
    <row r="35">
      <c r="A35" s="3" t="inlineStr">
        <is>
          <t>12035</t>
        </is>
      </c>
      <c r="B35" s="9" t="n">
        <v>192</v>
      </c>
      <c r="C35" s="3" t="inlineStr">
        <is>
          <t>703</t>
        </is>
      </c>
      <c r="D35" s="10" t="n">
        <v>45666.45833333334</v>
      </c>
      <c r="E35" s="10" t="n">
        <v>45666.45833333334</v>
      </c>
      <c r="F35" s="10" t="n">
        <v>45666.46037037037</v>
      </c>
      <c r="G35" s="10" t="n">
        <v>45666.46037037037</v>
      </c>
      <c r="H35" s="10" t="n">
        <v>45666.46314814815</v>
      </c>
      <c r="I35" s="10" t="n">
        <v>45666.46685185185</v>
      </c>
      <c r="J35" s="10" t="n">
        <v>45666.46685185185</v>
      </c>
      <c r="K35" s="10" t="n">
        <v>45666.46940972222</v>
      </c>
      <c r="L35" s="10" t="n">
        <v>45666.47431712963</v>
      </c>
      <c r="M35" s="11">
        <f>IF(AND(ISNUMBER(D35),ISNUMBER(E35)),(E35-D35),"")</f>
        <v/>
      </c>
      <c r="N35" s="11">
        <f>IF(AND(ISNUMBER(E35),ISNUMBER(F35)),(F35-E35),"")</f>
        <v/>
      </c>
      <c r="O35" s="11">
        <f>IF(AND(ISNUMBER(G35),ISNUMBER(H35)),(H35-G35),"")</f>
        <v/>
      </c>
      <c r="P35" s="11">
        <f>IF(AND(ISNUMBER(H35),ISNUMBER(I35)),(I35-H35),"")</f>
        <v/>
      </c>
      <c r="Q35" s="11">
        <f>IF(AND(ISNUMBER(J35),ISNUMBER(K35)),(K35-J35),"")</f>
        <v/>
      </c>
      <c r="R35" s="11">
        <f>IF(AND(ISNUMBER(K35),ISNUMBER(L35)),(L35-K35),"")</f>
        <v/>
      </c>
      <c r="S35" s="11">
        <f>IF(AND(ISNUMBER(F35),ISNUMBER(L35)),(L35-F35),"")</f>
        <v/>
      </c>
      <c r="T35" s="11">
        <f>IF(AND(ISNUMBER(D35),ISNUMBER(L35)),(L35-D35),"")</f>
        <v/>
      </c>
    </row>
    <row r="36">
      <c r="A36" s="3" t="inlineStr">
        <is>
          <t>12034</t>
        </is>
      </c>
      <c r="B36" s="9" t="n">
        <v>176</v>
      </c>
      <c r="C36" s="3" t="inlineStr">
        <is>
          <t>727</t>
        </is>
      </c>
      <c r="D36" s="10" t="n">
        <v>45666.45833333334</v>
      </c>
      <c r="E36" s="10" t="n">
        <v>45666.45833333334</v>
      </c>
      <c r="F36" s="10" t="n">
        <v>45666.45989583333</v>
      </c>
      <c r="G36" s="10" t="n">
        <v>45666.45989583333</v>
      </c>
      <c r="H36" s="10" t="n">
        <v>45666.46267361111</v>
      </c>
      <c r="I36" s="10" t="n">
        <v>45666.4649537037</v>
      </c>
      <c r="J36" s="10" t="n">
        <v>45666.4649537037</v>
      </c>
      <c r="K36" s="10" t="n">
        <v>45666.46582175926</v>
      </c>
      <c r="L36" s="10" t="n">
        <v>45666.46854166667</v>
      </c>
      <c r="M36" s="11">
        <f>IF(AND(ISNUMBER(D36),ISNUMBER(E36)),(E36-D36),"")</f>
        <v/>
      </c>
      <c r="N36" s="11">
        <f>IF(AND(ISNUMBER(E36),ISNUMBER(F36)),(F36-E36),"")</f>
        <v/>
      </c>
      <c r="O36" s="11">
        <f>IF(AND(ISNUMBER(G36),ISNUMBER(H36)),(H36-G36),"")</f>
        <v/>
      </c>
      <c r="P36" s="11">
        <f>IF(AND(ISNUMBER(H36),ISNUMBER(I36)),(I36-H36),"")</f>
        <v/>
      </c>
      <c r="Q36" s="11">
        <f>IF(AND(ISNUMBER(J36),ISNUMBER(K36)),(K36-J36),"")</f>
        <v/>
      </c>
      <c r="R36" s="11">
        <f>IF(AND(ISNUMBER(K36),ISNUMBER(L36)),(L36-K36),"")</f>
        <v/>
      </c>
      <c r="S36" s="11">
        <f>IF(AND(ISNUMBER(F36),ISNUMBER(L36)),(L36-F36),"")</f>
        <v/>
      </c>
      <c r="T36" s="11">
        <f>IF(AND(ISNUMBER(D36),ISNUMBER(L36)),(L36-D36),"")</f>
        <v/>
      </c>
    </row>
    <row r="37">
      <c r="A37" s="3" t="inlineStr">
        <is>
          <t>12036</t>
        </is>
      </c>
      <c r="B37" s="9" t="n">
        <v>288</v>
      </c>
      <c r="C37" s="3" t="inlineStr">
        <is>
          <t>703</t>
        </is>
      </c>
      <c r="D37" s="10" t="n">
        <v>45666.54166666666</v>
      </c>
      <c r="E37" s="10" t="n">
        <v>45666.54166666666</v>
      </c>
      <c r="F37" s="10" t="n">
        <v>45666.54392361111</v>
      </c>
      <c r="G37" s="10" t="n">
        <v>45666.54392361111</v>
      </c>
      <c r="H37" s="10" t="n">
        <v>45666.54670138889</v>
      </c>
      <c r="I37" s="10" t="n">
        <v>45666.55034722222</v>
      </c>
      <c r="J37" s="10" t="n">
        <v>45666.55034722222</v>
      </c>
      <c r="K37" s="10" t="n">
        <v>45666.55113425926</v>
      </c>
      <c r="L37" s="10" t="n">
        <v>45666.55416666667</v>
      </c>
      <c r="M37" s="11">
        <f>IF(AND(ISNUMBER(D37),ISNUMBER(E37)),(E37-D37),"")</f>
        <v/>
      </c>
      <c r="N37" s="11">
        <f>IF(AND(ISNUMBER(E37),ISNUMBER(F37)),(F37-E37),"")</f>
        <v/>
      </c>
      <c r="O37" s="11">
        <f>IF(AND(ISNUMBER(G37),ISNUMBER(H37)),(H37-G37),"")</f>
        <v/>
      </c>
      <c r="P37" s="11">
        <f>IF(AND(ISNUMBER(H37),ISNUMBER(I37)),(I37-H37),"")</f>
        <v/>
      </c>
      <c r="Q37" s="11">
        <f>IF(AND(ISNUMBER(J37),ISNUMBER(K37)),(K37-J37),"")</f>
        <v/>
      </c>
      <c r="R37" s="11">
        <f>IF(AND(ISNUMBER(K37),ISNUMBER(L37)),(L37-K37),"")</f>
        <v/>
      </c>
      <c r="S37" s="11">
        <f>IF(AND(ISNUMBER(F37),ISNUMBER(L37)),(L37-F37),"")</f>
        <v/>
      </c>
      <c r="T37" s="11">
        <f>IF(AND(ISNUMBER(D37),ISNUMBER(L37)),(L37-D37),"")</f>
        <v/>
      </c>
    </row>
    <row r="38">
      <c r="A38" s="3" t="inlineStr">
        <is>
          <t>12037</t>
        </is>
      </c>
      <c r="B38" s="9" t="n">
        <v>176</v>
      </c>
      <c r="C38" s="3" t="inlineStr">
        <is>
          <t>727</t>
        </is>
      </c>
      <c r="D38" s="10" t="n">
        <v>45666.54652777778</v>
      </c>
      <c r="E38" s="10" t="n">
        <v>45666.54652777778</v>
      </c>
      <c r="F38" s="10" t="n">
        <v>45666.54809027778</v>
      </c>
      <c r="G38" s="10" t="n">
        <v>45666.54809027778</v>
      </c>
      <c r="H38" s="10" t="n">
        <v>45666.55086805556</v>
      </c>
      <c r="I38" s="10" t="n">
        <v>45666.55422453704</v>
      </c>
      <c r="J38" s="10" t="n">
        <v>45666.55422453704</v>
      </c>
      <c r="K38" s="10" t="n">
        <v>45666.55509259259</v>
      </c>
      <c r="L38" s="10" t="n">
        <v>45666.56043981481</v>
      </c>
      <c r="M38" s="11">
        <f>IF(AND(ISNUMBER(D38),ISNUMBER(E38)),(E38-D38),"")</f>
        <v/>
      </c>
      <c r="N38" s="11">
        <f>IF(AND(ISNUMBER(E38),ISNUMBER(F38)),(F38-E38),"")</f>
        <v/>
      </c>
      <c r="O38" s="11">
        <f>IF(AND(ISNUMBER(G38),ISNUMBER(H38)),(H38-G38),"")</f>
        <v/>
      </c>
      <c r="P38" s="11">
        <f>IF(AND(ISNUMBER(H38),ISNUMBER(I38)),(I38-H38),"")</f>
        <v/>
      </c>
      <c r="Q38" s="11">
        <f>IF(AND(ISNUMBER(J38),ISNUMBER(K38)),(K38-J38),"")</f>
        <v/>
      </c>
      <c r="R38" s="11">
        <f>IF(AND(ISNUMBER(K38),ISNUMBER(L38)),(L38-K38),"")</f>
        <v/>
      </c>
      <c r="S38" s="11">
        <f>IF(AND(ISNUMBER(F38),ISNUMBER(L38)),(L38-F38),"")</f>
        <v/>
      </c>
      <c r="T38" s="11">
        <f>IF(AND(ISNUMBER(D38),ISNUMBER(L38)),(L38-D38),"")</f>
        <v/>
      </c>
    </row>
    <row r="39">
      <c r="A39" s="3" t="inlineStr">
        <is>
          <t>12038</t>
        </is>
      </c>
      <c r="B39" s="9" t="n">
        <v>80</v>
      </c>
      <c r="C39" s="3" t="inlineStr">
        <is>
          <t>703</t>
        </is>
      </c>
      <c r="D39" s="10" t="n">
        <v>45666.55902777778</v>
      </c>
      <c r="E39" s="10" t="n">
        <v>45666.55902777778</v>
      </c>
      <c r="F39" s="10" t="n">
        <v>45666.56079861111</v>
      </c>
      <c r="G39" s="10" t="n">
        <v>45666.56079861111</v>
      </c>
      <c r="H39" s="10" t="n">
        <v>45666.56357638889</v>
      </c>
      <c r="I39" s="10" t="n">
        <v>45666.56525462963</v>
      </c>
      <c r="J39" s="10" t="n">
        <v>45666.56525462963</v>
      </c>
      <c r="K39" s="10" t="n">
        <v>45666.56612268519</v>
      </c>
      <c r="L39" s="10" t="n">
        <v>45666.56998842592</v>
      </c>
      <c r="M39" s="11">
        <f>IF(AND(ISNUMBER(D39),ISNUMBER(E39)),(E39-D39),"")</f>
        <v/>
      </c>
      <c r="N39" s="11">
        <f>IF(AND(ISNUMBER(E39),ISNUMBER(F39)),(F39-E39),"")</f>
        <v/>
      </c>
      <c r="O39" s="11">
        <f>IF(AND(ISNUMBER(G39),ISNUMBER(H39)),(H39-G39),"")</f>
        <v/>
      </c>
      <c r="P39" s="11">
        <f>IF(AND(ISNUMBER(H39),ISNUMBER(I39)),(I39-H39),"")</f>
        <v/>
      </c>
      <c r="Q39" s="11">
        <f>IF(AND(ISNUMBER(J39),ISNUMBER(K39)),(K39-J39),"")</f>
        <v/>
      </c>
      <c r="R39" s="11">
        <f>IF(AND(ISNUMBER(K39),ISNUMBER(L39)),(L39-K39),"")</f>
        <v/>
      </c>
      <c r="S39" s="11">
        <f>IF(AND(ISNUMBER(F39),ISNUMBER(L39)),(L39-F39),"")</f>
        <v/>
      </c>
      <c r="T39" s="11">
        <f>IF(AND(ISNUMBER(D39),ISNUMBER(L39)),(L39-D39),"")</f>
        <v/>
      </c>
    </row>
    <row r="40">
      <c r="A40" s="3" t="inlineStr">
        <is>
          <t>12039</t>
        </is>
      </c>
      <c r="B40" s="9" t="n">
        <v>192</v>
      </c>
      <c r="C40" s="3" t="inlineStr">
        <is>
          <t>727</t>
        </is>
      </c>
      <c r="D40" s="10" t="n">
        <v>45666.56875</v>
      </c>
      <c r="E40" s="10" t="n">
        <v>45666.56875</v>
      </c>
      <c r="F40" s="10" t="n">
        <v>45666.57034722222</v>
      </c>
      <c r="G40" s="10" t="n">
        <v>45666.57034722222</v>
      </c>
      <c r="H40" s="10" t="n">
        <v>45666.573125</v>
      </c>
      <c r="I40" s="10" t="n">
        <v>45666.57568287037</v>
      </c>
      <c r="J40" s="10" t="n">
        <v>45666.57568287037</v>
      </c>
      <c r="K40" s="10" t="n">
        <v>45666.57655092593</v>
      </c>
      <c r="L40" s="10" t="n">
        <v>45666.58023148148</v>
      </c>
      <c r="M40" s="11">
        <f>IF(AND(ISNUMBER(D40),ISNUMBER(E40)),(E40-D40),"")</f>
        <v/>
      </c>
      <c r="N40" s="11">
        <f>IF(AND(ISNUMBER(E40),ISNUMBER(F40)),(F40-E40),"")</f>
        <v/>
      </c>
      <c r="O40" s="11">
        <f>IF(AND(ISNUMBER(G40),ISNUMBER(H40)),(H40-G40),"")</f>
        <v/>
      </c>
      <c r="P40" s="11">
        <f>IF(AND(ISNUMBER(H40),ISNUMBER(I40)),(I40-H40),"")</f>
        <v/>
      </c>
      <c r="Q40" s="11">
        <f>IF(AND(ISNUMBER(J40),ISNUMBER(K40)),(K40-J40),"")</f>
        <v/>
      </c>
      <c r="R40" s="11">
        <f>IF(AND(ISNUMBER(K40),ISNUMBER(L40)),(L40-K40),"")</f>
        <v/>
      </c>
      <c r="S40" s="11">
        <f>IF(AND(ISNUMBER(F40),ISNUMBER(L40)),(L40-F40),"")</f>
        <v/>
      </c>
      <c r="T40" s="11">
        <f>IF(AND(ISNUMBER(D40),ISNUMBER(L40)),(L40-D40),"")</f>
        <v/>
      </c>
    </row>
    <row r="41">
      <c r="A41" s="3" t="inlineStr">
        <is>
          <t>12040</t>
        </is>
      </c>
      <c r="B41" s="9" t="n">
        <v>192</v>
      </c>
      <c r="C41" s="3" t="inlineStr">
        <is>
          <t>703</t>
        </is>
      </c>
      <c r="D41" s="10" t="n">
        <v>45666.57638888889</v>
      </c>
      <c r="E41" s="10" t="n">
        <v>45666.57638888889</v>
      </c>
      <c r="F41" s="10" t="n">
        <v>45666.57842592592</v>
      </c>
      <c r="G41" s="10" t="n">
        <v>45666.57842592592</v>
      </c>
      <c r="H41" s="10" t="n">
        <v>45666.5812037037</v>
      </c>
      <c r="I41" s="10" t="n">
        <v>45666.58480324074</v>
      </c>
      <c r="J41" s="10" t="n">
        <v>45666.58480324074</v>
      </c>
      <c r="K41" s="10" t="n">
        <v>45666.5856712963</v>
      </c>
      <c r="L41" s="10" t="n">
        <v>45666.59076388889</v>
      </c>
      <c r="M41" s="11">
        <f>IF(AND(ISNUMBER(D41),ISNUMBER(E41)),(E41-D41),"")</f>
        <v/>
      </c>
      <c r="N41" s="11">
        <f>IF(AND(ISNUMBER(E41),ISNUMBER(F41)),(F41-E41),"")</f>
        <v/>
      </c>
      <c r="O41" s="11">
        <f>IF(AND(ISNUMBER(G41),ISNUMBER(H41)),(H41-G41),"")</f>
        <v/>
      </c>
      <c r="P41" s="11">
        <f>IF(AND(ISNUMBER(H41),ISNUMBER(I41)),(I41-H41),"")</f>
        <v/>
      </c>
      <c r="Q41" s="11">
        <f>IF(AND(ISNUMBER(J41),ISNUMBER(K41)),(K41-J41),"")</f>
        <v/>
      </c>
      <c r="R41" s="11">
        <f>IF(AND(ISNUMBER(K41),ISNUMBER(L41)),(L41-K41),"")</f>
        <v/>
      </c>
      <c r="S41" s="11">
        <f>IF(AND(ISNUMBER(F41),ISNUMBER(L41)),(L41-F41),"")</f>
        <v/>
      </c>
      <c r="T41" s="11">
        <f>IF(AND(ISNUMBER(D41),ISNUMBER(L41)),(L41-D41),"")</f>
        <v/>
      </c>
    </row>
    <row r="42">
      <c r="A42" s="3" t="inlineStr">
        <is>
          <t>12041</t>
        </is>
      </c>
      <c r="B42" s="9" t="n">
        <v>144</v>
      </c>
      <c r="C42" s="3" t="inlineStr">
        <is>
          <t>703</t>
        </is>
      </c>
      <c r="D42" s="10" t="n">
        <v>45666.79166666666</v>
      </c>
      <c r="E42" s="10" t="n">
        <v>45666.79166666666</v>
      </c>
      <c r="F42" s="10" t="n">
        <v>45666.79358796297</v>
      </c>
      <c r="G42" s="10" t="n">
        <v>45666.79358796297</v>
      </c>
      <c r="H42" s="10" t="n">
        <v>45666.79636574074</v>
      </c>
      <c r="I42" s="10" t="n">
        <v>45666.79876157407</v>
      </c>
      <c r="J42" s="10" t="n">
        <v>45666.79876157407</v>
      </c>
      <c r="K42" s="10" t="n">
        <v>45666.79952546296</v>
      </c>
      <c r="L42" s="10" t="n">
        <v>45666.8009837963</v>
      </c>
      <c r="M42" s="11">
        <f>IF(AND(ISNUMBER(D42),ISNUMBER(E42)),(E42-D42),"")</f>
        <v/>
      </c>
      <c r="N42" s="11">
        <f>IF(AND(ISNUMBER(E42),ISNUMBER(F42)),(F42-E42),"")</f>
        <v/>
      </c>
      <c r="O42" s="11">
        <f>IF(AND(ISNUMBER(G42),ISNUMBER(H42)),(H42-G42),"")</f>
        <v/>
      </c>
      <c r="P42" s="11">
        <f>IF(AND(ISNUMBER(H42),ISNUMBER(I42)),(I42-H42),"")</f>
        <v/>
      </c>
      <c r="Q42" s="11">
        <f>IF(AND(ISNUMBER(J42),ISNUMBER(K42)),(K42-J42),"")</f>
        <v/>
      </c>
      <c r="R42" s="11">
        <f>IF(AND(ISNUMBER(K42),ISNUMBER(L42)),(L42-K42),"")</f>
        <v/>
      </c>
      <c r="S42" s="11">
        <f>IF(AND(ISNUMBER(F42),ISNUMBER(L42)),(L42-F42),"")</f>
        <v/>
      </c>
      <c r="T42" s="11">
        <f>IF(AND(ISNUMBER(D42),ISNUMBER(L42)),(L42-D42),"")</f>
        <v/>
      </c>
    </row>
    <row r="43">
      <c r="A43" s="3" t="inlineStr">
        <is>
          <t>12042</t>
        </is>
      </c>
      <c r="B43" s="9" t="n">
        <v>272</v>
      </c>
      <c r="C43" s="3" t="inlineStr">
        <is>
          <t>727</t>
        </is>
      </c>
      <c r="D43" s="10" t="n">
        <v>45666.79513888889</v>
      </c>
      <c r="E43" s="10" t="n">
        <v>45666.79513888889</v>
      </c>
      <c r="F43" s="10" t="n">
        <v>45666.7969212963</v>
      </c>
      <c r="G43" s="10" t="n">
        <v>45666.7969212963</v>
      </c>
      <c r="H43" s="10" t="n">
        <v>45666.79969907407</v>
      </c>
      <c r="I43" s="10" t="n">
        <v>45666.80393518518</v>
      </c>
      <c r="J43" s="10" t="n">
        <v>45666.80393518518</v>
      </c>
      <c r="K43" s="10" t="n">
        <v>45666.80469907408</v>
      </c>
      <c r="L43" s="10" t="n">
        <v>45666.80971064815</v>
      </c>
      <c r="M43" s="11">
        <f>IF(AND(ISNUMBER(D43),ISNUMBER(E43)),(E43-D43),"")</f>
        <v/>
      </c>
      <c r="N43" s="11">
        <f>IF(AND(ISNUMBER(E43),ISNUMBER(F43)),(F43-E43),"")</f>
        <v/>
      </c>
      <c r="O43" s="11">
        <f>IF(AND(ISNUMBER(G43),ISNUMBER(H43)),(H43-G43),"")</f>
        <v/>
      </c>
      <c r="P43" s="11">
        <f>IF(AND(ISNUMBER(H43),ISNUMBER(I43)),(I43-H43),"")</f>
        <v/>
      </c>
      <c r="Q43" s="11">
        <f>IF(AND(ISNUMBER(J43),ISNUMBER(K43)),(K43-J43),"")</f>
        <v/>
      </c>
      <c r="R43" s="11">
        <f>IF(AND(ISNUMBER(K43),ISNUMBER(L43)),(L43-K43),"")</f>
        <v/>
      </c>
      <c r="S43" s="11">
        <f>IF(AND(ISNUMBER(F43),ISNUMBER(L43)),(L43-F43),"")</f>
        <v/>
      </c>
      <c r="T43" s="11">
        <f>IF(AND(ISNUMBER(D43),ISNUMBER(L43)),(L43-D43),"")</f>
        <v/>
      </c>
    </row>
    <row r="44">
      <c r="A44" s="3" t="inlineStr">
        <is>
          <t>12043</t>
        </is>
      </c>
      <c r="B44" s="9" t="n">
        <v>160</v>
      </c>
      <c r="C44" s="3" t="inlineStr">
        <is>
          <t>703</t>
        </is>
      </c>
      <c r="D44" s="10" t="n">
        <v>45666.9375</v>
      </c>
      <c r="E44" s="10" t="n">
        <v>45666.9375</v>
      </c>
      <c r="F44" s="10" t="n">
        <v>45666.93945601852</v>
      </c>
      <c r="G44" s="10" t="n">
        <v>45666.93945601852</v>
      </c>
      <c r="H44" s="10" t="n">
        <v>45666.9422337963</v>
      </c>
      <c r="I44" s="10" t="n">
        <v>45666.94451388889</v>
      </c>
      <c r="J44" s="10" t="n">
        <v>45666.94451388889</v>
      </c>
      <c r="K44" s="10" t="n">
        <v>45666.9453125</v>
      </c>
      <c r="L44" s="10" t="n">
        <v>45666.94737268519</v>
      </c>
      <c r="M44" s="11">
        <f>IF(AND(ISNUMBER(D44),ISNUMBER(E44)),(E44-D44),"")</f>
        <v/>
      </c>
      <c r="N44" s="11">
        <f>IF(AND(ISNUMBER(E44),ISNUMBER(F44)),(F44-E44),"")</f>
        <v/>
      </c>
      <c r="O44" s="11">
        <f>IF(AND(ISNUMBER(G44),ISNUMBER(H44)),(H44-G44),"")</f>
        <v/>
      </c>
      <c r="P44" s="11">
        <f>IF(AND(ISNUMBER(H44),ISNUMBER(I44)),(I44-H44),"")</f>
        <v/>
      </c>
      <c r="Q44" s="11">
        <f>IF(AND(ISNUMBER(J44),ISNUMBER(K44)),(K44-J44),"")</f>
        <v/>
      </c>
      <c r="R44" s="11">
        <f>IF(AND(ISNUMBER(K44),ISNUMBER(L44)),(L44-K44),"")</f>
        <v/>
      </c>
      <c r="S44" s="11">
        <f>IF(AND(ISNUMBER(F44),ISNUMBER(L44)),(L44-F44),"")</f>
        <v/>
      </c>
      <c r="T44" s="11">
        <f>IF(AND(ISNUMBER(D44),ISNUMBER(L44)),(L44-D44),"")</f>
        <v/>
      </c>
    </row>
    <row r="45">
      <c r="A45" s="3" t="inlineStr">
        <is>
          <t>12044</t>
        </is>
      </c>
      <c r="B45" s="9" t="n">
        <v>160</v>
      </c>
      <c r="C45" s="3" t="inlineStr">
        <is>
          <t>703</t>
        </is>
      </c>
      <c r="D45" s="10" t="n">
        <v>45667.29166666666</v>
      </c>
      <c r="E45" s="10" t="n">
        <v>45667.29166666666</v>
      </c>
      <c r="F45" s="10" t="n">
        <v>45667.29362268518</v>
      </c>
      <c r="G45" s="10" t="n">
        <v>45667.29362268518</v>
      </c>
      <c r="H45" s="10" t="n">
        <v>45667.29640046296</v>
      </c>
      <c r="I45" s="10" t="n">
        <v>45667.30039351852</v>
      </c>
      <c r="J45" s="10" t="n">
        <v>45667.30039351852</v>
      </c>
      <c r="K45" s="10" t="n">
        <v>45667.30126157407</v>
      </c>
      <c r="L45" s="10" t="n">
        <v>45667.30680555556</v>
      </c>
      <c r="M45" s="11">
        <f>IF(AND(ISNUMBER(D45),ISNUMBER(E45)),(E45-D45),"")</f>
        <v/>
      </c>
      <c r="N45" s="11">
        <f>IF(AND(ISNUMBER(E45),ISNUMBER(F45)),(F45-E45),"")</f>
        <v/>
      </c>
      <c r="O45" s="11">
        <f>IF(AND(ISNUMBER(G45),ISNUMBER(H45)),(H45-G45),"")</f>
        <v/>
      </c>
      <c r="P45" s="11">
        <f>IF(AND(ISNUMBER(H45),ISNUMBER(I45)),(I45-H45),"")</f>
        <v/>
      </c>
      <c r="Q45" s="11">
        <f>IF(AND(ISNUMBER(J45),ISNUMBER(K45)),(K45-J45),"")</f>
        <v/>
      </c>
      <c r="R45" s="11">
        <f>IF(AND(ISNUMBER(K45),ISNUMBER(L45)),(L45-K45),"")</f>
        <v/>
      </c>
      <c r="S45" s="11">
        <f>IF(AND(ISNUMBER(F45),ISNUMBER(L45)),(L45-F45),"")</f>
        <v/>
      </c>
      <c r="T45" s="11">
        <f>IF(AND(ISNUMBER(D45),ISNUMBER(L45)),(L45-D45),"")</f>
        <v/>
      </c>
    </row>
    <row r="46">
      <c r="A46" s="3" t="inlineStr">
        <is>
          <t>12045</t>
        </is>
      </c>
      <c r="B46" s="9" t="n">
        <v>144</v>
      </c>
      <c r="C46" s="3" t="inlineStr">
        <is>
          <t>703</t>
        </is>
      </c>
      <c r="D46" s="10" t="n">
        <v>45667.31597222222</v>
      </c>
      <c r="E46" s="10" t="n">
        <v>45667.31597222222</v>
      </c>
      <c r="F46" s="10" t="n">
        <v>45667.31789351852</v>
      </c>
      <c r="G46" s="10" t="n">
        <v>45667.31789351852</v>
      </c>
      <c r="H46" s="10" t="n">
        <v>45667.32067129629</v>
      </c>
      <c r="I46" s="10" t="n">
        <v>45667.32398148148</v>
      </c>
      <c r="J46" s="10" t="n">
        <v>45667.32398148148</v>
      </c>
      <c r="K46" s="10" t="n">
        <v>45667.32471064815</v>
      </c>
      <c r="L46" s="10" t="n">
        <v>45667.33033564815</v>
      </c>
      <c r="M46" s="11">
        <f>IF(AND(ISNUMBER(D46),ISNUMBER(E46)),(E46-D46),"")</f>
        <v/>
      </c>
      <c r="N46" s="11">
        <f>IF(AND(ISNUMBER(E46),ISNUMBER(F46)),(F46-E46),"")</f>
        <v/>
      </c>
      <c r="O46" s="11">
        <f>IF(AND(ISNUMBER(G46),ISNUMBER(H46)),(H46-G46),"")</f>
        <v/>
      </c>
      <c r="P46" s="11">
        <f>IF(AND(ISNUMBER(H46),ISNUMBER(I46)),(I46-H46),"")</f>
        <v/>
      </c>
      <c r="Q46" s="11">
        <f>IF(AND(ISNUMBER(J46),ISNUMBER(K46)),(K46-J46),"")</f>
        <v/>
      </c>
      <c r="R46" s="11">
        <f>IF(AND(ISNUMBER(K46),ISNUMBER(L46)),(L46-K46),"")</f>
        <v/>
      </c>
      <c r="S46" s="11">
        <f>IF(AND(ISNUMBER(F46),ISNUMBER(L46)),(L46-F46),"")</f>
        <v/>
      </c>
      <c r="T46" s="11">
        <f>IF(AND(ISNUMBER(D46),ISNUMBER(L46)),(L46-D46),"")</f>
        <v/>
      </c>
    </row>
    <row r="47">
      <c r="A47" s="3" t="inlineStr">
        <is>
          <t>12046</t>
        </is>
      </c>
      <c r="B47" s="9" t="n">
        <v>96</v>
      </c>
      <c r="C47" s="3" t="inlineStr">
        <is>
          <t>703</t>
        </is>
      </c>
      <c r="D47" s="10" t="n">
        <v>45667.35</v>
      </c>
      <c r="E47" s="10" t="n">
        <v>45667.35</v>
      </c>
      <c r="F47" s="10" t="n">
        <v>45667.35181712963</v>
      </c>
      <c r="G47" s="10" t="n">
        <v>45667.35181712963</v>
      </c>
      <c r="H47" s="10" t="n">
        <v>45667.35459490741</v>
      </c>
      <c r="I47" s="10" t="n">
        <v>45667.35618055556</v>
      </c>
      <c r="J47" s="10" t="n">
        <v>45667.35618055556</v>
      </c>
      <c r="K47" s="10" t="n">
        <v>45667.35704861111</v>
      </c>
      <c r="L47" s="10" t="n">
        <v>45667.36021990741</v>
      </c>
      <c r="M47" s="11">
        <f>IF(AND(ISNUMBER(D47),ISNUMBER(E47)),(E47-D47),"")</f>
        <v/>
      </c>
      <c r="N47" s="11">
        <f>IF(AND(ISNUMBER(E47),ISNUMBER(F47)),(F47-E47),"")</f>
        <v/>
      </c>
      <c r="O47" s="11">
        <f>IF(AND(ISNUMBER(G47),ISNUMBER(H47)),(H47-G47),"")</f>
        <v/>
      </c>
      <c r="P47" s="11">
        <f>IF(AND(ISNUMBER(H47),ISNUMBER(I47)),(I47-H47),"")</f>
        <v/>
      </c>
      <c r="Q47" s="11">
        <f>IF(AND(ISNUMBER(J47),ISNUMBER(K47)),(K47-J47),"")</f>
        <v/>
      </c>
      <c r="R47" s="11">
        <f>IF(AND(ISNUMBER(K47),ISNUMBER(L47)),(L47-K47),"")</f>
        <v/>
      </c>
      <c r="S47" s="11">
        <f>IF(AND(ISNUMBER(F47),ISNUMBER(L47)),(L47-F47),"")</f>
        <v/>
      </c>
      <c r="T47" s="11">
        <f>IF(AND(ISNUMBER(D47),ISNUMBER(L47)),(L47-D47),"")</f>
        <v/>
      </c>
    </row>
    <row r="48">
      <c r="A48" s="3" t="inlineStr">
        <is>
          <t>12047</t>
        </is>
      </c>
      <c r="B48" s="9" t="n">
        <v>176</v>
      </c>
      <c r="C48" s="3" t="inlineStr">
        <is>
          <t>703</t>
        </is>
      </c>
      <c r="D48" s="10" t="n">
        <v>45667.37708333333</v>
      </c>
      <c r="E48" s="10" t="n">
        <v>45667.37708333333</v>
      </c>
      <c r="F48" s="10" t="n">
        <v>45667.37908564815</v>
      </c>
      <c r="G48" s="10" t="n">
        <v>45667.37908564815</v>
      </c>
      <c r="H48" s="10" t="n">
        <v>45667.38186342592</v>
      </c>
      <c r="I48" s="10" t="n">
        <v>45667.38533564815</v>
      </c>
      <c r="J48" s="10" t="n">
        <v>45667.38533564815</v>
      </c>
      <c r="K48" s="10" t="n">
        <v>45667.38609953703</v>
      </c>
      <c r="L48" s="10" t="n">
        <v>45667.39142361111</v>
      </c>
      <c r="M48" s="11">
        <f>IF(AND(ISNUMBER(D48),ISNUMBER(E48)),(E48-D48),"")</f>
        <v/>
      </c>
      <c r="N48" s="11">
        <f>IF(AND(ISNUMBER(E48),ISNUMBER(F48)),(F48-E48),"")</f>
        <v/>
      </c>
      <c r="O48" s="11">
        <f>IF(AND(ISNUMBER(G48),ISNUMBER(H48)),(H48-G48),"")</f>
        <v/>
      </c>
      <c r="P48" s="11">
        <f>IF(AND(ISNUMBER(H48),ISNUMBER(I48)),(I48-H48),"")</f>
        <v/>
      </c>
      <c r="Q48" s="11">
        <f>IF(AND(ISNUMBER(J48),ISNUMBER(K48)),(K48-J48),"")</f>
        <v/>
      </c>
      <c r="R48" s="11">
        <f>IF(AND(ISNUMBER(K48),ISNUMBER(L48)),(L48-K48),"")</f>
        <v/>
      </c>
      <c r="S48" s="11">
        <f>IF(AND(ISNUMBER(F48),ISNUMBER(L48)),(L48-F48),"")</f>
        <v/>
      </c>
      <c r="T48" s="11">
        <f>IF(AND(ISNUMBER(D48),ISNUMBER(L48)),(L48-D48),"")</f>
        <v/>
      </c>
    </row>
    <row r="49">
      <c r="A49" s="3" t="inlineStr">
        <is>
          <t>12049</t>
        </is>
      </c>
      <c r="B49" s="9" t="n">
        <v>224</v>
      </c>
      <c r="C49" s="3" t="inlineStr">
        <is>
          <t>703</t>
        </is>
      </c>
      <c r="D49" s="10" t="n">
        <v>45667.54166666666</v>
      </c>
      <c r="E49" s="10" t="n">
        <v>45667.54166666666</v>
      </c>
      <c r="F49" s="10" t="n">
        <v>45667.54377314815</v>
      </c>
      <c r="G49" s="10" t="n">
        <v>45667.54377314815</v>
      </c>
      <c r="H49" s="10" t="n">
        <v>45667.54655092592</v>
      </c>
      <c r="I49" s="10" t="n">
        <v>45667.55145833334</v>
      </c>
      <c r="J49" s="10" t="n">
        <v>45667.55145833334</v>
      </c>
      <c r="K49" s="10" t="n">
        <v>45667.55665509259</v>
      </c>
      <c r="L49" s="10" t="n">
        <v>45667.56440972222</v>
      </c>
      <c r="M49" s="11">
        <f>IF(AND(ISNUMBER(D49),ISNUMBER(E49)),(E49-D49),"")</f>
        <v/>
      </c>
      <c r="N49" s="11">
        <f>IF(AND(ISNUMBER(E49),ISNUMBER(F49)),(F49-E49),"")</f>
        <v/>
      </c>
      <c r="O49" s="11">
        <f>IF(AND(ISNUMBER(G49),ISNUMBER(H49)),(H49-G49),"")</f>
        <v/>
      </c>
      <c r="P49" s="11">
        <f>IF(AND(ISNUMBER(H49),ISNUMBER(I49)),(I49-H49),"")</f>
        <v/>
      </c>
      <c r="Q49" s="11">
        <f>IF(AND(ISNUMBER(J49),ISNUMBER(K49)),(K49-J49),"")</f>
        <v/>
      </c>
      <c r="R49" s="11">
        <f>IF(AND(ISNUMBER(K49),ISNUMBER(L49)),(L49-K49),"")</f>
        <v/>
      </c>
      <c r="S49" s="11">
        <f>IF(AND(ISNUMBER(F49),ISNUMBER(L49)),(L49-F49),"")</f>
        <v/>
      </c>
      <c r="T49" s="11">
        <f>IF(AND(ISNUMBER(D49),ISNUMBER(L49)),(L49-D49),"")</f>
        <v/>
      </c>
    </row>
    <row r="50">
      <c r="A50" s="3" t="inlineStr">
        <is>
          <t>12048</t>
        </is>
      </c>
      <c r="B50" s="9" t="n">
        <v>240</v>
      </c>
      <c r="C50" s="3" t="inlineStr">
        <is>
          <t>727</t>
        </is>
      </c>
      <c r="D50" s="10" t="n">
        <v>45667.54166666666</v>
      </c>
      <c r="E50" s="10" t="n">
        <v>45667.54166666666</v>
      </c>
      <c r="F50" s="10" t="n">
        <v>45667.54337962963</v>
      </c>
      <c r="G50" s="10" t="n">
        <v>45667.54337962963</v>
      </c>
      <c r="H50" s="10" t="n">
        <v>45667.54615740741</v>
      </c>
      <c r="I50" s="10" t="n">
        <v>45667.54975694444</v>
      </c>
      <c r="J50" s="10" t="n">
        <v>45667.54975694444</v>
      </c>
      <c r="K50" s="10" t="n">
        <v>45667.550625</v>
      </c>
      <c r="L50" s="10" t="n">
        <v>45667.55578703704</v>
      </c>
      <c r="M50" s="11">
        <f>IF(AND(ISNUMBER(D50),ISNUMBER(E50)),(E50-D50),"")</f>
        <v/>
      </c>
      <c r="N50" s="11">
        <f>IF(AND(ISNUMBER(E50),ISNUMBER(F50)),(F50-E50),"")</f>
        <v/>
      </c>
      <c r="O50" s="11">
        <f>IF(AND(ISNUMBER(G50),ISNUMBER(H50)),(H50-G50),"")</f>
        <v/>
      </c>
      <c r="P50" s="11">
        <f>IF(AND(ISNUMBER(H50),ISNUMBER(I50)),(I50-H50),"")</f>
        <v/>
      </c>
      <c r="Q50" s="11">
        <f>IF(AND(ISNUMBER(J50),ISNUMBER(K50)),(K50-J50),"")</f>
        <v/>
      </c>
      <c r="R50" s="11">
        <f>IF(AND(ISNUMBER(K50),ISNUMBER(L50)),(L50-K50),"")</f>
        <v/>
      </c>
      <c r="S50" s="11">
        <f>IF(AND(ISNUMBER(F50),ISNUMBER(L50)),(L50-F50),"")</f>
        <v/>
      </c>
      <c r="T50" s="11">
        <f>IF(AND(ISNUMBER(D50),ISNUMBER(L50)),(L50-D50),"")</f>
        <v/>
      </c>
    </row>
    <row r="51">
      <c r="A51" s="3" t="inlineStr">
        <is>
          <t>12050</t>
        </is>
      </c>
      <c r="B51" s="9" t="n">
        <v>208</v>
      </c>
      <c r="C51" s="3" t="inlineStr">
        <is>
          <t>703</t>
        </is>
      </c>
      <c r="D51" s="10" t="n">
        <v>45667.625</v>
      </c>
      <c r="E51" s="10" t="n">
        <v>45667.625</v>
      </c>
      <c r="F51" s="10" t="n">
        <v>45667.62707175926</v>
      </c>
      <c r="G51" s="10" t="n">
        <v>45667.62707175926</v>
      </c>
      <c r="H51" s="10" t="n">
        <v>45667.62984953704</v>
      </c>
      <c r="I51" s="10" t="n">
        <v>45667.63381944445</v>
      </c>
      <c r="J51" s="10" t="n">
        <v>45667.63381944445</v>
      </c>
      <c r="K51" s="10" t="n">
        <v>45667.6346875</v>
      </c>
      <c r="L51" s="10" t="n">
        <v>45667.63952546296</v>
      </c>
      <c r="M51" s="11">
        <f>IF(AND(ISNUMBER(D51),ISNUMBER(E51)),(E51-D51),"")</f>
        <v/>
      </c>
      <c r="N51" s="11">
        <f>IF(AND(ISNUMBER(E51),ISNUMBER(F51)),(F51-E51),"")</f>
        <v/>
      </c>
      <c r="O51" s="11">
        <f>IF(AND(ISNUMBER(G51),ISNUMBER(H51)),(H51-G51),"")</f>
        <v/>
      </c>
      <c r="P51" s="11">
        <f>IF(AND(ISNUMBER(H51),ISNUMBER(I51)),(I51-H51),"")</f>
        <v/>
      </c>
      <c r="Q51" s="11">
        <f>IF(AND(ISNUMBER(J51),ISNUMBER(K51)),(K51-J51),"")</f>
        <v/>
      </c>
      <c r="R51" s="11">
        <f>IF(AND(ISNUMBER(K51),ISNUMBER(L51)),(L51-K51),"")</f>
        <v/>
      </c>
      <c r="S51" s="11">
        <f>IF(AND(ISNUMBER(F51),ISNUMBER(L51)),(L51-F51),"")</f>
        <v/>
      </c>
      <c r="T51" s="11">
        <f>IF(AND(ISNUMBER(D51),ISNUMBER(L51)),(L51-D51),"")</f>
        <v/>
      </c>
    </row>
    <row r="52">
      <c r="A52" s="3" t="inlineStr">
        <is>
          <t>12051</t>
        </is>
      </c>
      <c r="B52" s="9" t="n">
        <v>160</v>
      </c>
      <c r="C52" s="3" t="inlineStr">
        <is>
          <t>703</t>
        </is>
      </c>
      <c r="D52" s="10" t="n">
        <v>45667.65347222222</v>
      </c>
      <c r="E52" s="10" t="n">
        <v>45667.65347222222</v>
      </c>
      <c r="F52" s="10" t="n">
        <v>45667.65542824074</v>
      </c>
      <c r="G52" s="10" t="n">
        <v>45667.65542824074</v>
      </c>
      <c r="H52" s="10" t="n">
        <v>45667.65820601852</v>
      </c>
      <c r="I52" s="10" t="n">
        <v>45667.66059027778</v>
      </c>
      <c r="J52" s="10" t="n">
        <v>45667.66059027778</v>
      </c>
      <c r="K52" s="10" t="n">
        <v>45667.66145833334</v>
      </c>
      <c r="L52" s="10" t="n">
        <v>45667.66351851852</v>
      </c>
      <c r="M52" s="11">
        <f>IF(AND(ISNUMBER(D52),ISNUMBER(E52)),(E52-D52),"")</f>
        <v/>
      </c>
      <c r="N52" s="11">
        <f>IF(AND(ISNUMBER(E52),ISNUMBER(F52)),(F52-E52),"")</f>
        <v/>
      </c>
      <c r="O52" s="11">
        <f>IF(AND(ISNUMBER(G52),ISNUMBER(H52)),(H52-G52),"")</f>
        <v/>
      </c>
      <c r="P52" s="11">
        <f>IF(AND(ISNUMBER(H52),ISNUMBER(I52)),(I52-H52),"")</f>
        <v/>
      </c>
      <c r="Q52" s="11">
        <f>IF(AND(ISNUMBER(J52),ISNUMBER(K52)),(K52-J52),"")</f>
        <v/>
      </c>
      <c r="R52" s="11">
        <f>IF(AND(ISNUMBER(K52),ISNUMBER(L52)),(L52-K52),"")</f>
        <v/>
      </c>
      <c r="S52" s="11">
        <f>IF(AND(ISNUMBER(F52),ISNUMBER(L52)),(L52-F52),"")</f>
        <v/>
      </c>
      <c r="T52" s="11">
        <f>IF(AND(ISNUMBER(D52),ISNUMBER(L52)),(L52-D52),"")</f>
        <v/>
      </c>
    </row>
    <row r="53">
      <c r="A53" s="3" t="inlineStr">
        <is>
          <t>12052</t>
        </is>
      </c>
      <c r="B53" s="9" t="n">
        <v>224</v>
      </c>
      <c r="C53" s="3" t="inlineStr">
        <is>
          <t>703</t>
        </is>
      </c>
      <c r="D53" s="10" t="n">
        <v>45667.67569444444</v>
      </c>
      <c r="E53" s="10" t="n">
        <v>45667.67569444444</v>
      </c>
      <c r="F53" s="10" t="n">
        <v>45667.67780092593</v>
      </c>
      <c r="G53" s="10" t="n">
        <v>45667.67780092593</v>
      </c>
      <c r="H53" s="10" t="n">
        <v>45667.6805787037</v>
      </c>
      <c r="I53" s="10" t="n">
        <v>45667.6846875</v>
      </c>
      <c r="J53" s="10" t="n">
        <v>45667.6846875</v>
      </c>
      <c r="K53" s="10" t="n">
        <v>45667.68555555555</v>
      </c>
      <c r="L53" s="10" t="n">
        <v>45667.69091435185</v>
      </c>
      <c r="M53" s="11">
        <f>IF(AND(ISNUMBER(D53),ISNUMBER(E53)),(E53-D53),"")</f>
        <v/>
      </c>
      <c r="N53" s="11">
        <f>IF(AND(ISNUMBER(E53),ISNUMBER(F53)),(F53-E53),"")</f>
        <v/>
      </c>
      <c r="O53" s="11">
        <f>IF(AND(ISNUMBER(G53),ISNUMBER(H53)),(H53-G53),"")</f>
        <v/>
      </c>
      <c r="P53" s="11">
        <f>IF(AND(ISNUMBER(H53),ISNUMBER(I53)),(I53-H53),"")</f>
        <v/>
      </c>
      <c r="Q53" s="11">
        <f>IF(AND(ISNUMBER(J53),ISNUMBER(K53)),(K53-J53),"")</f>
        <v/>
      </c>
      <c r="R53" s="11">
        <f>IF(AND(ISNUMBER(K53),ISNUMBER(L53)),(L53-K53),"")</f>
        <v/>
      </c>
      <c r="S53" s="11">
        <f>IF(AND(ISNUMBER(F53),ISNUMBER(L53)),(L53-F53),"")</f>
        <v/>
      </c>
      <c r="T53" s="11">
        <f>IF(AND(ISNUMBER(D53),ISNUMBER(L53)),(L53-D53),"")</f>
        <v/>
      </c>
    </row>
    <row r="54">
      <c r="A54" s="3" t="inlineStr">
        <is>
          <t>12053</t>
        </is>
      </c>
      <c r="B54" s="9" t="n">
        <v>128</v>
      </c>
      <c r="C54" s="3" t="inlineStr">
        <is>
          <t>703</t>
        </is>
      </c>
      <c r="D54" s="10" t="n">
        <v>45667.70416666667</v>
      </c>
      <c r="E54" s="10" t="n">
        <v>45667.70416666667</v>
      </c>
      <c r="F54" s="10" t="n">
        <v>45667.70605324074</v>
      </c>
      <c r="G54" s="10" t="n">
        <v>45667.70605324074</v>
      </c>
      <c r="H54" s="10" t="n">
        <v>45667.70883101852</v>
      </c>
      <c r="I54" s="10" t="n">
        <v>45667.71202546296</v>
      </c>
      <c r="J54" s="10" t="n">
        <v>45667.71202546296</v>
      </c>
      <c r="K54" s="10" t="n">
        <v>45667.71289351852</v>
      </c>
      <c r="L54" s="10" t="n">
        <v>45667.71679398148</v>
      </c>
      <c r="M54" s="11">
        <f>IF(AND(ISNUMBER(D54),ISNUMBER(E54)),(E54-D54),"")</f>
        <v/>
      </c>
      <c r="N54" s="11">
        <f>IF(AND(ISNUMBER(E54),ISNUMBER(F54)),(F54-E54),"")</f>
        <v/>
      </c>
      <c r="O54" s="11">
        <f>IF(AND(ISNUMBER(G54),ISNUMBER(H54)),(H54-G54),"")</f>
        <v/>
      </c>
      <c r="P54" s="11">
        <f>IF(AND(ISNUMBER(H54),ISNUMBER(I54)),(I54-H54),"")</f>
        <v/>
      </c>
      <c r="Q54" s="11">
        <f>IF(AND(ISNUMBER(J54),ISNUMBER(K54)),(K54-J54),"")</f>
        <v/>
      </c>
      <c r="R54" s="11">
        <f>IF(AND(ISNUMBER(K54),ISNUMBER(L54)),(L54-K54),"")</f>
        <v/>
      </c>
      <c r="S54" s="11">
        <f>IF(AND(ISNUMBER(F54),ISNUMBER(L54)),(L54-F54),"")</f>
        <v/>
      </c>
      <c r="T54" s="11">
        <f>IF(AND(ISNUMBER(D54),ISNUMBER(L54)),(L54-D54),"")</f>
        <v/>
      </c>
    </row>
    <row r="55">
      <c r="A55" s="3" t="inlineStr">
        <is>
          <t>12054</t>
        </is>
      </c>
      <c r="B55" s="9" t="n">
        <v>144</v>
      </c>
      <c r="C55" s="3" t="inlineStr">
        <is>
          <t>703</t>
        </is>
      </c>
      <c r="D55" s="10" t="n">
        <v>45667.83333333334</v>
      </c>
      <c r="E55" s="10" t="n">
        <v>45667.83333333334</v>
      </c>
      <c r="F55" s="10" t="n">
        <v>45667.83525462963</v>
      </c>
      <c r="G55" s="10" t="n">
        <v>45667.83525462963</v>
      </c>
      <c r="H55" s="10" t="n">
        <v>45667.83803240741</v>
      </c>
      <c r="I55" s="10" t="n">
        <v>45667.8403587963</v>
      </c>
      <c r="J55" s="10" t="n">
        <v>45667.8403587963</v>
      </c>
      <c r="K55" s="10" t="n">
        <v>45667.84122685185</v>
      </c>
      <c r="L55" s="10" t="n">
        <v>45667.84523148148</v>
      </c>
      <c r="M55" s="11">
        <f>IF(AND(ISNUMBER(D55),ISNUMBER(E55)),(E55-D55),"")</f>
        <v/>
      </c>
      <c r="N55" s="11">
        <f>IF(AND(ISNUMBER(E55),ISNUMBER(F55)),(F55-E55),"")</f>
        <v/>
      </c>
      <c r="O55" s="11">
        <f>IF(AND(ISNUMBER(G55),ISNUMBER(H55)),(H55-G55),"")</f>
        <v/>
      </c>
      <c r="P55" s="11">
        <f>IF(AND(ISNUMBER(H55),ISNUMBER(I55)),(I55-H55),"")</f>
        <v/>
      </c>
      <c r="Q55" s="11">
        <f>IF(AND(ISNUMBER(J55),ISNUMBER(K55)),(K55-J55),"")</f>
        <v/>
      </c>
      <c r="R55" s="11">
        <f>IF(AND(ISNUMBER(K55),ISNUMBER(L55)),(L55-K55),"")</f>
        <v/>
      </c>
      <c r="S55" s="11">
        <f>IF(AND(ISNUMBER(F55),ISNUMBER(L55)),(L55-F55),"")</f>
        <v/>
      </c>
      <c r="T55" s="11">
        <f>IF(AND(ISNUMBER(D55),ISNUMBER(L55)),(L55-D55),"")</f>
        <v/>
      </c>
    </row>
    <row r="56">
      <c r="A56" s="3" t="inlineStr">
        <is>
          <t>12055</t>
        </is>
      </c>
      <c r="B56" s="9" t="n">
        <v>96</v>
      </c>
      <c r="C56" s="3" t="inlineStr">
        <is>
          <t>703</t>
        </is>
      </c>
      <c r="D56" s="10" t="n">
        <v>45667.9375</v>
      </c>
      <c r="E56" s="10" t="n">
        <v>45667.9375</v>
      </c>
      <c r="F56" s="10" t="n">
        <v>45667.93931712963</v>
      </c>
      <c r="G56" s="10" t="n">
        <v>45667.93931712963</v>
      </c>
      <c r="H56" s="10" t="n">
        <v>45667.9420949074</v>
      </c>
      <c r="I56" s="10" t="n">
        <v>45667.94502314815</v>
      </c>
      <c r="J56" s="10" t="n">
        <v>45667.94502314815</v>
      </c>
      <c r="K56" s="10" t="n">
        <v>45667.9458912037</v>
      </c>
      <c r="L56" s="10" t="n">
        <v>45667.95146990741</v>
      </c>
      <c r="M56" s="11">
        <f>IF(AND(ISNUMBER(D56),ISNUMBER(E56)),(E56-D56),"")</f>
        <v/>
      </c>
      <c r="N56" s="11">
        <f>IF(AND(ISNUMBER(E56),ISNUMBER(F56)),(F56-E56),"")</f>
        <v/>
      </c>
      <c r="O56" s="11">
        <f>IF(AND(ISNUMBER(G56),ISNUMBER(H56)),(H56-G56),"")</f>
        <v/>
      </c>
      <c r="P56" s="11">
        <f>IF(AND(ISNUMBER(H56),ISNUMBER(I56)),(I56-H56),"")</f>
        <v/>
      </c>
      <c r="Q56" s="11">
        <f>IF(AND(ISNUMBER(J56),ISNUMBER(K56)),(K56-J56),"")</f>
        <v/>
      </c>
      <c r="R56" s="11">
        <f>IF(AND(ISNUMBER(K56),ISNUMBER(L56)),(L56-K56),"")</f>
        <v/>
      </c>
      <c r="S56" s="11">
        <f>IF(AND(ISNUMBER(F56),ISNUMBER(L56)),(L56-F56),"")</f>
        <v/>
      </c>
      <c r="T56" s="11">
        <f>IF(AND(ISNUMBER(D56),ISNUMBER(L56)),(L56-D56),"")</f>
        <v/>
      </c>
    </row>
    <row r="57">
      <c r="A57" s="3" t="inlineStr">
        <is>
          <t>12056</t>
        </is>
      </c>
      <c r="B57" s="9" t="n">
        <v>112</v>
      </c>
      <c r="C57" s="3" t="inlineStr">
        <is>
          <t>703</t>
        </is>
      </c>
      <c r="D57" s="10" t="n">
        <v>45668.25</v>
      </c>
      <c r="E57" s="10" t="n">
        <v>45668.25</v>
      </c>
      <c r="F57" s="10" t="n">
        <v>45668.25185185186</v>
      </c>
      <c r="G57" s="10" t="n">
        <v>45668.25185185186</v>
      </c>
      <c r="H57" s="10" t="n">
        <v>45668.25462962963</v>
      </c>
      <c r="I57" s="10" t="n">
        <v>45668.25667824074</v>
      </c>
      <c r="J57" s="10" t="n">
        <v>45668.25667824074</v>
      </c>
      <c r="K57" s="10" t="n">
        <v>45668.2575462963</v>
      </c>
      <c r="L57" s="10" t="n">
        <v>45668.25972222222</v>
      </c>
      <c r="M57" s="11">
        <f>IF(AND(ISNUMBER(D57),ISNUMBER(E57)),(E57-D57),"")</f>
        <v/>
      </c>
      <c r="N57" s="11">
        <f>IF(AND(ISNUMBER(E57),ISNUMBER(F57)),(F57-E57),"")</f>
        <v/>
      </c>
      <c r="O57" s="11">
        <f>IF(AND(ISNUMBER(G57),ISNUMBER(H57)),(H57-G57),"")</f>
        <v/>
      </c>
      <c r="P57" s="11">
        <f>IF(AND(ISNUMBER(H57),ISNUMBER(I57)),(I57-H57),"")</f>
        <v/>
      </c>
      <c r="Q57" s="11">
        <f>IF(AND(ISNUMBER(J57),ISNUMBER(K57)),(K57-J57),"")</f>
        <v/>
      </c>
      <c r="R57" s="11">
        <f>IF(AND(ISNUMBER(K57),ISNUMBER(L57)),(L57-K57),"")</f>
        <v/>
      </c>
      <c r="S57" s="11">
        <f>IF(AND(ISNUMBER(F57),ISNUMBER(L57)),(L57-F57),"")</f>
        <v/>
      </c>
      <c r="T57" s="11">
        <f>IF(AND(ISNUMBER(D57),ISNUMBER(L57)),(L57-D57),"")</f>
        <v/>
      </c>
    </row>
    <row r="58">
      <c r="A58" s="3" t="inlineStr">
        <is>
          <t>12057</t>
        </is>
      </c>
      <c r="B58" s="9" t="n">
        <v>128</v>
      </c>
      <c r="C58" s="3" t="inlineStr">
        <is>
          <t>727</t>
        </is>
      </c>
      <c r="D58" s="10" t="n">
        <v>45668.25902777778</v>
      </c>
      <c r="E58" s="10" t="n">
        <v>45668.25902777778</v>
      </c>
      <c r="F58" s="10" t="n">
        <v>45668.26047453703</v>
      </c>
      <c r="G58" s="10" t="n">
        <v>45668.26047453703</v>
      </c>
      <c r="H58" s="10" t="n">
        <v>45668.26325231481</v>
      </c>
      <c r="I58" s="10" t="n">
        <v>45668.26645833333</v>
      </c>
      <c r="J58" s="10" t="n">
        <v>45668.26645833333</v>
      </c>
      <c r="K58" s="10" t="n">
        <v>45668.26732638889</v>
      </c>
      <c r="L58" s="10" t="n">
        <v>45668.2719212963</v>
      </c>
      <c r="M58" s="11">
        <f>IF(AND(ISNUMBER(D58),ISNUMBER(E58)),(E58-D58),"")</f>
        <v/>
      </c>
      <c r="N58" s="11">
        <f>IF(AND(ISNUMBER(E58),ISNUMBER(F58)),(F58-E58),"")</f>
        <v/>
      </c>
      <c r="O58" s="11">
        <f>IF(AND(ISNUMBER(G58),ISNUMBER(H58)),(H58-G58),"")</f>
        <v/>
      </c>
      <c r="P58" s="11">
        <f>IF(AND(ISNUMBER(H58),ISNUMBER(I58)),(I58-H58),"")</f>
        <v/>
      </c>
      <c r="Q58" s="11">
        <f>IF(AND(ISNUMBER(J58),ISNUMBER(K58)),(K58-J58),"")</f>
        <v/>
      </c>
      <c r="R58" s="11">
        <f>IF(AND(ISNUMBER(K58),ISNUMBER(L58)),(L58-K58),"")</f>
        <v/>
      </c>
      <c r="S58" s="11">
        <f>IF(AND(ISNUMBER(F58),ISNUMBER(L58)),(L58-F58),"")</f>
        <v/>
      </c>
      <c r="T58" s="11">
        <f>IF(AND(ISNUMBER(D58),ISNUMBER(L58)),(L58-D58),"")</f>
        <v/>
      </c>
    </row>
    <row r="59">
      <c r="A59" s="3" t="inlineStr">
        <is>
          <t>12058</t>
        </is>
      </c>
      <c r="B59" s="9" t="n">
        <v>128</v>
      </c>
      <c r="C59" s="3" t="inlineStr">
        <is>
          <t>703</t>
        </is>
      </c>
      <c r="D59" s="10" t="n">
        <v>45668.27152777778</v>
      </c>
      <c r="E59" s="10" t="n">
        <v>45668.27152777778</v>
      </c>
      <c r="F59" s="10" t="n">
        <v>45668.27341435185</v>
      </c>
      <c r="G59" s="10" t="n">
        <v>45668.27341435185</v>
      </c>
      <c r="H59" s="10" t="n">
        <v>45668.27619212963</v>
      </c>
      <c r="I59" s="10" t="n">
        <v>45668.27837962963</v>
      </c>
      <c r="J59" s="10" t="n">
        <v>45668.27837962963</v>
      </c>
      <c r="K59" s="10" t="n">
        <v>45668.27924768518</v>
      </c>
      <c r="L59" s="10" t="n">
        <v>45668.28112268518</v>
      </c>
      <c r="M59" s="11">
        <f>IF(AND(ISNUMBER(D59),ISNUMBER(E59)),(E59-D59),"")</f>
        <v/>
      </c>
      <c r="N59" s="11">
        <f>IF(AND(ISNUMBER(E59),ISNUMBER(F59)),(F59-E59),"")</f>
        <v/>
      </c>
      <c r="O59" s="11">
        <f>IF(AND(ISNUMBER(G59),ISNUMBER(H59)),(H59-G59),"")</f>
        <v/>
      </c>
      <c r="P59" s="11">
        <f>IF(AND(ISNUMBER(H59),ISNUMBER(I59)),(I59-H59),"")</f>
        <v/>
      </c>
      <c r="Q59" s="11">
        <f>IF(AND(ISNUMBER(J59),ISNUMBER(K59)),(K59-J59),"")</f>
        <v/>
      </c>
      <c r="R59" s="11">
        <f>IF(AND(ISNUMBER(K59),ISNUMBER(L59)),(L59-K59),"")</f>
        <v/>
      </c>
      <c r="S59" s="11">
        <f>IF(AND(ISNUMBER(F59),ISNUMBER(L59)),(L59-F59),"")</f>
        <v/>
      </c>
      <c r="T59" s="11">
        <f>IF(AND(ISNUMBER(D59),ISNUMBER(L59)),(L59-D59),"")</f>
        <v/>
      </c>
    </row>
    <row r="60">
      <c r="A60" s="3" t="inlineStr">
        <is>
          <t>12059</t>
        </is>
      </c>
      <c r="B60" s="9" t="n">
        <v>112</v>
      </c>
      <c r="C60" s="3" t="inlineStr">
        <is>
          <t>703</t>
        </is>
      </c>
      <c r="D60" s="10" t="n">
        <v>45668.28888888889</v>
      </c>
      <c r="E60" s="10" t="n">
        <v>45668.28888888889</v>
      </c>
      <c r="F60" s="10" t="n">
        <v>45668.29074074074</v>
      </c>
      <c r="G60" s="10" t="n">
        <v>45668.29074074074</v>
      </c>
      <c r="H60" s="10" t="n">
        <v>45668.29351851852</v>
      </c>
      <c r="I60" s="10" t="n">
        <v>45668.29563657408</v>
      </c>
      <c r="J60" s="10" t="n">
        <v>45668.29563657408</v>
      </c>
      <c r="K60" s="10" t="n">
        <v>45668.29650462963</v>
      </c>
      <c r="L60" s="10" t="n">
        <v>45668.29848379629</v>
      </c>
      <c r="M60" s="11">
        <f>IF(AND(ISNUMBER(D60),ISNUMBER(E60)),(E60-D60),"")</f>
        <v/>
      </c>
      <c r="N60" s="11">
        <f>IF(AND(ISNUMBER(E60),ISNUMBER(F60)),(F60-E60),"")</f>
        <v/>
      </c>
      <c r="O60" s="11">
        <f>IF(AND(ISNUMBER(G60),ISNUMBER(H60)),(H60-G60),"")</f>
        <v/>
      </c>
      <c r="P60" s="11">
        <f>IF(AND(ISNUMBER(H60),ISNUMBER(I60)),(I60-H60),"")</f>
        <v/>
      </c>
      <c r="Q60" s="11">
        <f>IF(AND(ISNUMBER(J60),ISNUMBER(K60)),(K60-J60),"")</f>
        <v/>
      </c>
      <c r="R60" s="11">
        <f>IF(AND(ISNUMBER(K60),ISNUMBER(L60)),(L60-K60),"")</f>
        <v/>
      </c>
      <c r="S60" s="11">
        <f>IF(AND(ISNUMBER(F60),ISNUMBER(L60)),(L60-F60),"")</f>
        <v/>
      </c>
      <c r="T60" s="11">
        <f>IF(AND(ISNUMBER(D60),ISNUMBER(L60)),(L60-D60),"")</f>
        <v/>
      </c>
    </row>
    <row r="61">
      <c r="A61" s="3" t="inlineStr">
        <is>
          <t>12060</t>
        </is>
      </c>
      <c r="B61" s="9" t="n">
        <v>112</v>
      </c>
      <c r="C61" s="3" t="inlineStr">
        <is>
          <t>703</t>
        </is>
      </c>
      <c r="D61" s="10" t="n">
        <v>45668.30347222222</v>
      </c>
      <c r="E61" s="10" t="n">
        <v>45668.30347222222</v>
      </c>
      <c r="F61" s="10" t="n">
        <v>45668.30532407408</v>
      </c>
      <c r="G61" s="10" t="n">
        <v>45668.30532407408</v>
      </c>
      <c r="H61" s="10" t="n">
        <v>45668.30810185185</v>
      </c>
      <c r="I61" s="10" t="n">
        <v>45668.31106481481</v>
      </c>
      <c r="J61" s="10" t="n">
        <v>45668.31106481481</v>
      </c>
      <c r="K61" s="10" t="n">
        <v>45668.31193287037</v>
      </c>
      <c r="L61" s="10" t="n">
        <v>45668.3171875</v>
      </c>
      <c r="M61" s="11">
        <f>IF(AND(ISNUMBER(D61),ISNUMBER(E61)),(E61-D61),"")</f>
        <v/>
      </c>
      <c r="N61" s="11">
        <f>IF(AND(ISNUMBER(E61),ISNUMBER(F61)),(F61-E61),"")</f>
        <v/>
      </c>
      <c r="O61" s="11">
        <f>IF(AND(ISNUMBER(G61),ISNUMBER(H61)),(H61-G61),"")</f>
        <v/>
      </c>
      <c r="P61" s="11">
        <f>IF(AND(ISNUMBER(H61),ISNUMBER(I61)),(I61-H61),"")</f>
        <v/>
      </c>
      <c r="Q61" s="11">
        <f>IF(AND(ISNUMBER(J61),ISNUMBER(K61)),(K61-J61),"")</f>
        <v/>
      </c>
      <c r="R61" s="11">
        <f>IF(AND(ISNUMBER(K61),ISNUMBER(L61)),(L61-K61),"")</f>
        <v/>
      </c>
      <c r="S61" s="11">
        <f>IF(AND(ISNUMBER(F61),ISNUMBER(L61)),(L61-F61),"")</f>
        <v/>
      </c>
      <c r="T61" s="11">
        <f>IF(AND(ISNUMBER(D61),ISNUMBER(L61)),(L61-D61),"")</f>
        <v/>
      </c>
    </row>
    <row r="62">
      <c r="A62" s="3" t="inlineStr">
        <is>
          <t>12061</t>
        </is>
      </c>
      <c r="B62" s="9" t="n">
        <v>112</v>
      </c>
      <c r="C62" s="3" t="inlineStr">
        <is>
          <t>703</t>
        </is>
      </c>
      <c r="D62" s="10" t="n">
        <v>45668.5</v>
      </c>
      <c r="E62" s="10" t="n">
        <v>45668.5</v>
      </c>
      <c r="F62" s="10" t="n">
        <v>45668.50185185186</v>
      </c>
      <c r="G62" s="10" t="n">
        <v>45668.50185185186</v>
      </c>
      <c r="H62" s="10" t="n">
        <v>45668.50462962963</v>
      </c>
      <c r="I62" s="10" t="n">
        <v>45668.50674768518</v>
      </c>
      <c r="J62" s="10" t="n">
        <v>45668.50674768518</v>
      </c>
      <c r="K62" s="10" t="n">
        <v>45668.50761574074</v>
      </c>
      <c r="L62" s="10" t="n">
        <v>45668.51109953703</v>
      </c>
      <c r="M62" s="11">
        <f>IF(AND(ISNUMBER(D62),ISNUMBER(E62)),(E62-D62),"")</f>
        <v/>
      </c>
      <c r="N62" s="11">
        <f>IF(AND(ISNUMBER(E62),ISNUMBER(F62)),(F62-E62),"")</f>
        <v/>
      </c>
      <c r="O62" s="11">
        <f>IF(AND(ISNUMBER(G62),ISNUMBER(H62)),(H62-G62),"")</f>
        <v/>
      </c>
      <c r="P62" s="11">
        <f>IF(AND(ISNUMBER(H62),ISNUMBER(I62)),(I62-H62),"")</f>
        <v/>
      </c>
      <c r="Q62" s="11">
        <f>IF(AND(ISNUMBER(J62),ISNUMBER(K62)),(K62-J62),"")</f>
        <v/>
      </c>
      <c r="R62" s="11">
        <f>IF(AND(ISNUMBER(K62),ISNUMBER(L62)),(L62-K62),"")</f>
        <v/>
      </c>
      <c r="S62" s="11">
        <f>IF(AND(ISNUMBER(F62),ISNUMBER(L62)),(L62-F62),"")</f>
        <v/>
      </c>
      <c r="T62" s="11">
        <f>IF(AND(ISNUMBER(D62),ISNUMBER(L62)),(L62-D62),"")</f>
        <v/>
      </c>
    </row>
    <row r="63">
      <c r="A63" s="3" t="inlineStr">
        <is>
          <t>12062</t>
        </is>
      </c>
      <c r="B63" s="9" t="n">
        <v>144</v>
      </c>
      <c r="C63" s="3" t="inlineStr">
        <is>
          <t>703</t>
        </is>
      </c>
      <c r="D63" s="10" t="n">
        <v>45668.51180555556</v>
      </c>
      <c r="E63" s="10" t="n">
        <v>45668.51180555556</v>
      </c>
      <c r="F63" s="10" t="n">
        <v>45668.51372685185</v>
      </c>
      <c r="G63" s="10" t="n">
        <v>45668.51372685185</v>
      </c>
      <c r="H63" s="10" t="n">
        <v>45668.51650462963</v>
      </c>
      <c r="I63" s="10" t="n">
        <v>45668.51869212963</v>
      </c>
      <c r="J63" s="10" t="n">
        <v>45668.51869212963</v>
      </c>
      <c r="K63" s="10" t="n">
        <v>45668.51956018519</v>
      </c>
      <c r="L63" s="10" t="n">
        <v>45668.52326388889</v>
      </c>
      <c r="M63" s="11">
        <f>IF(AND(ISNUMBER(D63),ISNUMBER(E63)),(E63-D63),"")</f>
        <v/>
      </c>
      <c r="N63" s="11">
        <f>IF(AND(ISNUMBER(E63),ISNUMBER(F63)),(F63-E63),"")</f>
        <v/>
      </c>
      <c r="O63" s="11">
        <f>IF(AND(ISNUMBER(G63),ISNUMBER(H63)),(H63-G63),"")</f>
        <v/>
      </c>
      <c r="P63" s="11">
        <f>IF(AND(ISNUMBER(H63),ISNUMBER(I63)),(I63-H63),"")</f>
        <v/>
      </c>
      <c r="Q63" s="11">
        <f>IF(AND(ISNUMBER(J63),ISNUMBER(K63)),(K63-J63),"")</f>
        <v/>
      </c>
      <c r="R63" s="11">
        <f>IF(AND(ISNUMBER(K63),ISNUMBER(L63)),(L63-K63),"")</f>
        <v/>
      </c>
      <c r="S63" s="11">
        <f>IF(AND(ISNUMBER(F63),ISNUMBER(L63)),(L63-F63),"")</f>
        <v/>
      </c>
      <c r="T63" s="11">
        <f>IF(AND(ISNUMBER(D63),ISNUMBER(L63)),(L63-D63),"")</f>
        <v/>
      </c>
    </row>
    <row r="64">
      <c r="A64" s="3" t="inlineStr">
        <is>
          <t>12063</t>
        </is>
      </c>
      <c r="B64" s="9" t="n">
        <v>112</v>
      </c>
      <c r="C64" s="3" t="inlineStr">
        <is>
          <t>727</t>
        </is>
      </c>
      <c r="D64" s="10" t="n">
        <v>45668.52152777778</v>
      </c>
      <c r="E64" s="10" t="n">
        <v>45668.52152777778</v>
      </c>
      <c r="F64" s="10" t="n">
        <v>45668.52293981481</v>
      </c>
      <c r="G64" s="10" t="n">
        <v>45668.52293981481</v>
      </c>
      <c r="H64" s="10" t="n">
        <v>45668.52571759259</v>
      </c>
      <c r="I64" s="10" t="n">
        <v>45668.52765046297</v>
      </c>
      <c r="J64" s="10" t="n">
        <v>45668.52765046297</v>
      </c>
      <c r="K64" s="10" t="n">
        <v>45668.52841435185</v>
      </c>
      <c r="L64" s="10" t="n">
        <v>45668.52976851852</v>
      </c>
      <c r="M64" s="11">
        <f>IF(AND(ISNUMBER(D64),ISNUMBER(E64)),(E64-D64),"")</f>
        <v/>
      </c>
      <c r="N64" s="11">
        <f>IF(AND(ISNUMBER(E64),ISNUMBER(F64)),(F64-E64),"")</f>
        <v/>
      </c>
      <c r="O64" s="11">
        <f>IF(AND(ISNUMBER(G64),ISNUMBER(H64)),(H64-G64),"")</f>
        <v/>
      </c>
      <c r="P64" s="11">
        <f>IF(AND(ISNUMBER(H64),ISNUMBER(I64)),(I64-H64),"")</f>
        <v/>
      </c>
      <c r="Q64" s="11">
        <f>IF(AND(ISNUMBER(J64),ISNUMBER(K64)),(K64-J64),"")</f>
        <v/>
      </c>
      <c r="R64" s="11">
        <f>IF(AND(ISNUMBER(K64),ISNUMBER(L64)),(L64-K64),"")</f>
        <v/>
      </c>
      <c r="S64" s="11">
        <f>IF(AND(ISNUMBER(F64),ISNUMBER(L64)),(L64-F64),"")</f>
        <v/>
      </c>
      <c r="T64" s="11">
        <f>IF(AND(ISNUMBER(D64),ISNUMBER(L64)),(L64-D64),"")</f>
        <v/>
      </c>
    </row>
    <row r="65">
      <c r="A65" s="3" t="inlineStr">
        <is>
          <t>12064</t>
        </is>
      </c>
      <c r="B65" s="9" t="n">
        <v>128</v>
      </c>
      <c r="C65" s="3" t="inlineStr">
        <is>
          <t>703</t>
        </is>
      </c>
      <c r="D65" s="10" t="n">
        <v>45668.525</v>
      </c>
      <c r="E65" s="10" t="n">
        <v>45668.525</v>
      </c>
      <c r="F65" s="10" t="n">
        <v>45668.52688657407</v>
      </c>
      <c r="G65" s="10" t="n">
        <v>45668.52688657407</v>
      </c>
      <c r="H65" s="10" t="n">
        <v>45668.52966435185</v>
      </c>
      <c r="I65" s="10" t="n">
        <v>45668.53306712963</v>
      </c>
      <c r="J65" s="10" t="n">
        <v>45668.53306712963</v>
      </c>
      <c r="K65" s="10" t="n">
        <v>45668.53383101852</v>
      </c>
      <c r="L65" s="10" t="n">
        <v>45668.53990740741</v>
      </c>
      <c r="M65" s="11">
        <f>IF(AND(ISNUMBER(D65),ISNUMBER(E65)),(E65-D65),"")</f>
        <v/>
      </c>
      <c r="N65" s="11">
        <f>IF(AND(ISNUMBER(E65),ISNUMBER(F65)),(F65-E65),"")</f>
        <v/>
      </c>
      <c r="O65" s="11">
        <f>IF(AND(ISNUMBER(G65),ISNUMBER(H65)),(H65-G65),"")</f>
        <v/>
      </c>
      <c r="P65" s="11">
        <f>IF(AND(ISNUMBER(H65),ISNUMBER(I65)),(I65-H65),"")</f>
        <v/>
      </c>
      <c r="Q65" s="11">
        <f>IF(AND(ISNUMBER(J65),ISNUMBER(K65)),(K65-J65),"")</f>
        <v/>
      </c>
      <c r="R65" s="11">
        <f>IF(AND(ISNUMBER(K65),ISNUMBER(L65)),(L65-K65),"")</f>
        <v/>
      </c>
      <c r="S65" s="11">
        <f>IF(AND(ISNUMBER(F65),ISNUMBER(L65)),(L65-F65),"")</f>
        <v/>
      </c>
      <c r="T65" s="11">
        <f>IF(AND(ISNUMBER(D65),ISNUMBER(L65)),(L65-D65),"")</f>
        <v/>
      </c>
    </row>
    <row r="66">
      <c r="A66" s="3" t="inlineStr">
        <is>
          <t>12065</t>
        </is>
      </c>
      <c r="B66" s="9" t="n">
        <v>208</v>
      </c>
      <c r="C66" s="3" t="inlineStr">
        <is>
          <t>727</t>
        </is>
      </c>
      <c r="D66" s="10" t="n">
        <v>45668.53611111111</v>
      </c>
      <c r="E66" s="10" t="n">
        <v>45668.53611111111</v>
      </c>
      <c r="F66" s="10" t="n">
        <v>45668.53774305555</v>
      </c>
      <c r="G66" s="10" t="n">
        <v>45668.53774305555</v>
      </c>
      <c r="H66" s="10" t="n">
        <v>45668.54052083333</v>
      </c>
      <c r="I66" s="10" t="n">
        <v>45668.54461805556</v>
      </c>
      <c r="J66" s="10" t="n">
        <v>45668.54461805556</v>
      </c>
      <c r="K66" s="10" t="n">
        <v>45668.54538194444</v>
      </c>
      <c r="L66" s="10" t="n">
        <v>45668.54997685185</v>
      </c>
      <c r="M66" s="11">
        <f>IF(AND(ISNUMBER(D66),ISNUMBER(E66)),(E66-D66),"")</f>
        <v/>
      </c>
      <c r="N66" s="11">
        <f>IF(AND(ISNUMBER(E66),ISNUMBER(F66)),(F66-E66),"")</f>
        <v/>
      </c>
      <c r="O66" s="11">
        <f>IF(AND(ISNUMBER(G66),ISNUMBER(H66)),(H66-G66),"")</f>
        <v/>
      </c>
      <c r="P66" s="11">
        <f>IF(AND(ISNUMBER(H66),ISNUMBER(I66)),(I66-H66),"")</f>
        <v/>
      </c>
      <c r="Q66" s="11">
        <f>IF(AND(ISNUMBER(J66),ISNUMBER(K66)),(K66-J66),"")</f>
        <v/>
      </c>
      <c r="R66" s="11">
        <f>IF(AND(ISNUMBER(K66),ISNUMBER(L66)),(L66-K66),"")</f>
        <v/>
      </c>
      <c r="S66" s="11">
        <f>IF(AND(ISNUMBER(F66),ISNUMBER(L66)),(L66-F66),"")</f>
        <v/>
      </c>
      <c r="T66" s="11">
        <f>IF(AND(ISNUMBER(D66),ISNUMBER(L66)),(L66-D66),"")</f>
        <v/>
      </c>
    </row>
    <row r="67">
      <c r="A67" s="3" t="inlineStr">
        <is>
          <t>12066</t>
        </is>
      </c>
      <c r="B67" s="9" t="n">
        <v>96</v>
      </c>
      <c r="C67" s="3" t="inlineStr">
        <is>
          <t>703</t>
        </is>
      </c>
      <c r="D67" s="10" t="n">
        <v>45668.54444444444</v>
      </c>
      <c r="E67" s="10" t="n">
        <v>45668.54444444444</v>
      </c>
      <c r="F67" s="10" t="n">
        <v>45668.54626157408</v>
      </c>
      <c r="G67" s="10" t="n">
        <v>45668.54626157408</v>
      </c>
      <c r="H67" s="10" t="n">
        <v>45668.54903935185</v>
      </c>
      <c r="I67" s="10" t="n">
        <v>45668.55101851852</v>
      </c>
      <c r="J67" s="10" t="n">
        <v>45668.55101851852</v>
      </c>
      <c r="K67" s="10" t="n">
        <v>45668.5517824074</v>
      </c>
      <c r="L67" s="10" t="n">
        <v>45668.55503472222</v>
      </c>
      <c r="M67" s="11">
        <f>IF(AND(ISNUMBER(D67),ISNUMBER(E67)),(E67-D67),"")</f>
        <v/>
      </c>
      <c r="N67" s="11">
        <f>IF(AND(ISNUMBER(E67),ISNUMBER(F67)),(F67-E67),"")</f>
        <v/>
      </c>
      <c r="O67" s="11">
        <f>IF(AND(ISNUMBER(G67),ISNUMBER(H67)),(H67-G67),"")</f>
        <v/>
      </c>
      <c r="P67" s="11">
        <f>IF(AND(ISNUMBER(H67),ISNUMBER(I67)),(I67-H67),"")</f>
        <v/>
      </c>
      <c r="Q67" s="11">
        <f>IF(AND(ISNUMBER(J67),ISNUMBER(K67)),(K67-J67),"")</f>
        <v/>
      </c>
      <c r="R67" s="11">
        <f>IF(AND(ISNUMBER(K67),ISNUMBER(L67)),(L67-K67),"")</f>
        <v/>
      </c>
      <c r="S67" s="11">
        <f>IF(AND(ISNUMBER(F67),ISNUMBER(L67)),(L67-F67),"")</f>
        <v/>
      </c>
      <c r="T67" s="11">
        <f>IF(AND(ISNUMBER(D67),ISNUMBER(L67)),(L67-D67),"")</f>
        <v/>
      </c>
    </row>
    <row r="68">
      <c r="A68" s="3" t="inlineStr">
        <is>
          <t>12067</t>
        </is>
      </c>
      <c r="B68" s="9" t="n">
        <v>80</v>
      </c>
      <c r="C68" s="3" t="inlineStr">
        <is>
          <t>703</t>
        </is>
      </c>
      <c r="D68" s="10" t="n">
        <v>45668.75</v>
      </c>
      <c r="E68" s="10" t="n">
        <v>45668.75</v>
      </c>
      <c r="F68" s="10" t="n">
        <v>45668.75177083333</v>
      </c>
      <c r="G68" s="10" t="n">
        <v>45668.75177083333</v>
      </c>
      <c r="H68" s="10" t="n">
        <v>45668.75454861111</v>
      </c>
      <c r="I68" s="10" t="n">
        <v>45668.75606481481</v>
      </c>
      <c r="J68" s="10" t="n">
        <v>45668.75606481481</v>
      </c>
      <c r="K68" s="10" t="n">
        <v>45668.75693287037</v>
      </c>
      <c r="L68" s="10" t="n">
        <v>45668.75993055556</v>
      </c>
      <c r="M68" s="11">
        <f>IF(AND(ISNUMBER(D68),ISNUMBER(E68)),(E68-D68),"")</f>
        <v/>
      </c>
      <c r="N68" s="11">
        <f>IF(AND(ISNUMBER(E68),ISNUMBER(F68)),(F68-E68),"")</f>
        <v/>
      </c>
      <c r="O68" s="11">
        <f>IF(AND(ISNUMBER(G68),ISNUMBER(H68)),(H68-G68),"")</f>
        <v/>
      </c>
      <c r="P68" s="11">
        <f>IF(AND(ISNUMBER(H68),ISNUMBER(I68)),(I68-H68),"")</f>
        <v/>
      </c>
      <c r="Q68" s="11">
        <f>IF(AND(ISNUMBER(J68),ISNUMBER(K68)),(K68-J68),"")</f>
        <v/>
      </c>
      <c r="R68" s="11">
        <f>IF(AND(ISNUMBER(K68),ISNUMBER(L68)),(L68-K68),"")</f>
        <v/>
      </c>
      <c r="S68" s="11">
        <f>IF(AND(ISNUMBER(F68),ISNUMBER(L68)),(L68-F68),"")</f>
        <v/>
      </c>
      <c r="T68" s="11">
        <f>IF(AND(ISNUMBER(D68),ISNUMBER(L68)),(L68-D68),"")</f>
        <v/>
      </c>
    </row>
    <row r="69">
      <c r="A69" s="3" t="inlineStr">
        <is>
          <t>12068</t>
        </is>
      </c>
      <c r="B69" s="9" t="n">
        <v>304</v>
      </c>
      <c r="C69" s="3" t="inlineStr">
        <is>
          <t>703</t>
        </is>
      </c>
      <c r="D69" s="10" t="n">
        <v>45668.875</v>
      </c>
      <c r="E69" s="10" t="n">
        <v>45668.875</v>
      </c>
      <c r="F69" s="10" t="n">
        <v>45668.87729166666</v>
      </c>
      <c r="G69" s="10" t="n">
        <v>45668.87729166666</v>
      </c>
      <c r="H69" s="10" t="n">
        <v>45668.88006944444</v>
      </c>
      <c r="I69" s="10" t="n">
        <v>45668.885</v>
      </c>
      <c r="J69" s="10" t="n">
        <v>45668.885</v>
      </c>
      <c r="K69" s="10" t="n">
        <v>45668.88576388889</v>
      </c>
      <c r="L69" s="10" t="n">
        <v>45668.89097222222</v>
      </c>
      <c r="M69" s="11">
        <f>IF(AND(ISNUMBER(D69),ISNUMBER(E69)),(E69-D69),"")</f>
        <v/>
      </c>
      <c r="N69" s="11">
        <f>IF(AND(ISNUMBER(E69),ISNUMBER(F69)),(F69-E69),"")</f>
        <v/>
      </c>
      <c r="O69" s="11">
        <f>IF(AND(ISNUMBER(G69),ISNUMBER(H69)),(H69-G69),"")</f>
        <v/>
      </c>
      <c r="P69" s="11">
        <f>IF(AND(ISNUMBER(H69),ISNUMBER(I69)),(I69-H69),"")</f>
        <v/>
      </c>
      <c r="Q69" s="11">
        <f>IF(AND(ISNUMBER(J69),ISNUMBER(K69)),(K69-J69),"")</f>
        <v/>
      </c>
      <c r="R69" s="11">
        <f>IF(AND(ISNUMBER(K69),ISNUMBER(L69)),(L69-K69),"")</f>
        <v/>
      </c>
      <c r="S69" s="11">
        <f>IF(AND(ISNUMBER(F69),ISNUMBER(L69)),(L69-F69),"")</f>
        <v/>
      </c>
      <c r="T69" s="11">
        <f>IF(AND(ISNUMBER(D69),ISNUMBER(L69)),(L69-D69),"")</f>
        <v/>
      </c>
    </row>
    <row r="70">
      <c r="A70" s="3" t="inlineStr">
        <is>
          <t>12069</t>
        </is>
      </c>
      <c r="B70" s="9" t="n">
        <v>160</v>
      </c>
      <c r="C70" s="3" t="inlineStr">
        <is>
          <t>703</t>
        </is>
      </c>
      <c r="D70" s="10" t="n">
        <v>45668.97916666666</v>
      </c>
      <c r="E70" s="10" t="n">
        <v>45668.97916666666</v>
      </c>
      <c r="F70" s="10" t="n">
        <v>45668.98112268518</v>
      </c>
      <c r="G70" s="10" t="n">
        <v>45668.98112268518</v>
      </c>
      <c r="H70" s="10" t="n">
        <v>45668.98390046296</v>
      </c>
      <c r="I70" s="10" t="n">
        <v>45668.98599537037</v>
      </c>
      <c r="J70" s="10" t="n">
        <v>45668.98599537037</v>
      </c>
      <c r="K70" s="10" t="n">
        <v>45668.98686342593</v>
      </c>
      <c r="L70" s="10" t="n">
        <v>45668.99109953704</v>
      </c>
      <c r="M70" s="11">
        <f>IF(AND(ISNUMBER(D70),ISNUMBER(E70)),(E70-D70),"")</f>
        <v/>
      </c>
      <c r="N70" s="11">
        <f>IF(AND(ISNUMBER(E70),ISNUMBER(F70)),(F70-E70),"")</f>
        <v/>
      </c>
      <c r="O70" s="11">
        <f>IF(AND(ISNUMBER(G70),ISNUMBER(H70)),(H70-G70),"")</f>
        <v/>
      </c>
      <c r="P70" s="11">
        <f>IF(AND(ISNUMBER(H70),ISNUMBER(I70)),(I70-H70),"")</f>
        <v/>
      </c>
      <c r="Q70" s="11">
        <f>IF(AND(ISNUMBER(J70),ISNUMBER(K70)),(K70-J70),"")</f>
        <v/>
      </c>
      <c r="R70" s="11">
        <f>IF(AND(ISNUMBER(K70),ISNUMBER(L70)),(L70-K70),"")</f>
        <v/>
      </c>
      <c r="S70" s="11">
        <f>IF(AND(ISNUMBER(F70),ISNUMBER(L70)),(L70-F70),"")</f>
        <v/>
      </c>
      <c r="T70" s="11">
        <f>IF(AND(ISNUMBER(D70),ISNUMBER(L70)),(L70-D70),"")</f>
        <v/>
      </c>
    </row>
    <row r="71">
      <c r="A71" s="3" t="inlineStr">
        <is>
          <t>12070</t>
        </is>
      </c>
      <c r="B71" s="9" t="n">
        <v>208</v>
      </c>
      <c r="C71" s="3" t="inlineStr">
        <is>
          <t>703</t>
        </is>
      </c>
      <c r="D71" s="10" t="n">
        <v>45669.33333333334</v>
      </c>
      <c r="E71" s="10" t="n">
        <v>45669.33333333334</v>
      </c>
      <c r="F71" s="10" t="n">
        <v>45669.33540509259</v>
      </c>
      <c r="G71" s="10" t="n">
        <v>45669.33540509259</v>
      </c>
      <c r="H71" s="10" t="n">
        <v>45669.33818287037</v>
      </c>
      <c r="I71" s="10" t="n">
        <v>45669.34342592592</v>
      </c>
      <c r="J71" s="10" t="n">
        <v>45669.34342592592</v>
      </c>
      <c r="K71" s="10" t="n">
        <v>45669.34418981482</v>
      </c>
      <c r="L71" s="10" t="n">
        <v>45669.35075231481</v>
      </c>
      <c r="M71" s="11">
        <f>IF(AND(ISNUMBER(D71),ISNUMBER(E71)),(E71-D71),"")</f>
        <v/>
      </c>
      <c r="N71" s="11">
        <f>IF(AND(ISNUMBER(E71),ISNUMBER(F71)),(F71-E71),"")</f>
        <v/>
      </c>
      <c r="O71" s="11">
        <f>IF(AND(ISNUMBER(G71),ISNUMBER(H71)),(H71-G71),"")</f>
        <v/>
      </c>
      <c r="P71" s="11">
        <f>IF(AND(ISNUMBER(H71),ISNUMBER(I71)),(I71-H71),"")</f>
        <v/>
      </c>
      <c r="Q71" s="11">
        <f>IF(AND(ISNUMBER(J71),ISNUMBER(K71)),(K71-J71),"")</f>
        <v/>
      </c>
      <c r="R71" s="11">
        <f>IF(AND(ISNUMBER(K71),ISNUMBER(L71)),(L71-K71),"")</f>
        <v/>
      </c>
      <c r="S71" s="11">
        <f>IF(AND(ISNUMBER(F71),ISNUMBER(L71)),(L71-F71),"")</f>
        <v/>
      </c>
      <c r="T71" s="11">
        <f>IF(AND(ISNUMBER(D71),ISNUMBER(L71)),(L71-D71),"")</f>
        <v/>
      </c>
    </row>
    <row r="72">
      <c r="A72" s="3" t="inlineStr">
        <is>
          <t>12071</t>
        </is>
      </c>
      <c r="B72" s="9" t="n">
        <v>176</v>
      </c>
      <c r="C72" s="3" t="inlineStr">
        <is>
          <t>703</t>
        </is>
      </c>
      <c r="D72" s="10" t="n">
        <v>45669.39236111111</v>
      </c>
      <c r="E72" s="10" t="n">
        <v>45669.39236111111</v>
      </c>
      <c r="F72" s="10" t="n">
        <v>45669.39436342593</v>
      </c>
      <c r="G72" s="10" t="n">
        <v>45669.39436342593</v>
      </c>
      <c r="H72" s="10" t="n">
        <v>45669.39714120371</v>
      </c>
      <c r="I72" s="10" t="n">
        <v>45669.40027777778</v>
      </c>
      <c r="J72" s="10" t="n">
        <v>45669.40027777778</v>
      </c>
      <c r="K72" s="10" t="n">
        <v>45669.40114583333</v>
      </c>
      <c r="L72" s="10" t="n">
        <v>45669.40613425926</v>
      </c>
      <c r="M72" s="11">
        <f>IF(AND(ISNUMBER(D72),ISNUMBER(E72)),(E72-D72),"")</f>
        <v/>
      </c>
      <c r="N72" s="11">
        <f>IF(AND(ISNUMBER(E72),ISNUMBER(F72)),(F72-E72),"")</f>
        <v/>
      </c>
      <c r="O72" s="11">
        <f>IF(AND(ISNUMBER(G72),ISNUMBER(H72)),(H72-G72),"")</f>
        <v/>
      </c>
      <c r="P72" s="11">
        <f>IF(AND(ISNUMBER(H72),ISNUMBER(I72)),(I72-H72),"")</f>
        <v/>
      </c>
      <c r="Q72" s="11">
        <f>IF(AND(ISNUMBER(J72),ISNUMBER(K72)),(K72-J72),"")</f>
        <v/>
      </c>
      <c r="R72" s="11">
        <f>IF(AND(ISNUMBER(K72),ISNUMBER(L72)),(L72-K72),"")</f>
        <v/>
      </c>
      <c r="S72" s="11">
        <f>IF(AND(ISNUMBER(F72),ISNUMBER(L72)),(L72-F72),"")</f>
        <v/>
      </c>
      <c r="T72" s="11">
        <f>IF(AND(ISNUMBER(D72),ISNUMBER(L72)),(L72-D72),"")</f>
        <v/>
      </c>
    </row>
    <row r="73">
      <c r="A73" s="3" t="inlineStr">
        <is>
          <t>12072</t>
        </is>
      </c>
      <c r="B73" s="9" t="n">
        <v>128</v>
      </c>
      <c r="C73" s="3" t="inlineStr">
        <is>
          <t>703</t>
        </is>
      </c>
      <c r="D73" s="10" t="n">
        <v>45669.42222222222</v>
      </c>
      <c r="E73" s="10" t="n">
        <v>45669.42222222222</v>
      </c>
      <c r="F73" s="10" t="n">
        <v>45669.42410879629</v>
      </c>
      <c r="G73" s="10" t="n">
        <v>45669.42410879629</v>
      </c>
      <c r="H73" s="10" t="n">
        <v>45669.42688657407</v>
      </c>
      <c r="I73" s="10" t="n">
        <v>45669.43028935185</v>
      </c>
      <c r="J73" s="10" t="n">
        <v>45669.43028935185</v>
      </c>
      <c r="K73" s="10" t="n">
        <v>45669.43105324074</v>
      </c>
      <c r="L73" s="10" t="n">
        <v>45669.43665509259</v>
      </c>
      <c r="M73" s="11">
        <f>IF(AND(ISNUMBER(D73),ISNUMBER(E73)),(E73-D73),"")</f>
        <v/>
      </c>
      <c r="N73" s="11">
        <f>IF(AND(ISNUMBER(E73),ISNUMBER(F73)),(F73-E73),"")</f>
        <v/>
      </c>
      <c r="O73" s="11">
        <f>IF(AND(ISNUMBER(G73),ISNUMBER(H73)),(H73-G73),"")</f>
        <v/>
      </c>
      <c r="P73" s="11">
        <f>IF(AND(ISNUMBER(H73),ISNUMBER(I73)),(I73-H73),"")</f>
        <v/>
      </c>
      <c r="Q73" s="11">
        <f>IF(AND(ISNUMBER(J73),ISNUMBER(K73)),(K73-J73),"")</f>
        <v/>
      </c>
      <c r="R73" s="11">
        <f>IF(AND(ISNUMBER(K73),ISNUMBER(L73)),(L73-K73),"")</f>
        <v/>
      </c>
      <c r="S73" s="11">
        <f>IF(AND(ISNUMBER(F73),ISNUMBER(L73)),(L73-F73),"")</f>
        <v/>
      </c>
      <c r="T73" s="11">
        <f>IF(AND(ISNUMBER(D73),ISNUMBER(L73)),(L73-D73),"")</f>
        <v/>
      </c>
    </row>
    <row r="74">
      <c r="A74" s="3" t="inlineStr">
        <is>
          <t>12073</t>
        </is>
      </c>
      <c r="B74" s="9" t="n">
        <v>176</v>
      </c>
      <c r="C74" s="3" t="inlineStr">
        <is>
          <t>703</t>
        </is>
      </c>
      <c r="D74" s="10" t="n">
        <v>45669.45763888889</v>
      </c>
      <c r="E74" s="10" t="n">
        <v>45669.45763888889</v>
      </c>
      <c r="F74" s="10" t="n">
        <v>45669.45964120371</v>
      </c>
      <c r="G74" s="10" t="n">
        <v>45669.45964120371</v>
      </c>
      <c r="H74" s="10" t="n">
        <v>45669.46241898148</v>
      </c>
      <c r="I74" s="10" t="n">
        <v>45669.46555555556</v>
      </c>
      <c r="J74" s="10" t="n">
        <v>45669.46555555556</v>
      </c>
      <c r="K74" s="10" t="n">
        <v>45669.46642361111</v>
      </c>
      <c r="L74" s="10" t="n">
        <v>45669.47208333333</v>
      </c>
      <c r="M74" s="11">
        <f>IF(AND(ISNUMBER(D74),ISNUMBER(E74)),(E74-D74),"")</f>
        <v/>
      </c>
      <c r="N74" s="11">
        <f>IF(AND(ISNUMBER(E74),ISNUMBER(F74)),(F74-E74),"")</f>
        <v/>
      </c>
      <c r="O74" s="11">
        <f>IF(AND(ISNUMBER(G74),ISNUMBER(H74)),(H74-G74),"")</f>
        <v/>
      </c>
      <c r="P74" s="11">
        <f>IF(AND(ISNUMBER(H74),ISNUMBER(I74)),(I74-H74),"")</f>
        <v/>
      </c>
      <c r="Q74" s="11">
        <f>IF(AND(ISNUMBER(J74),ISNUMBER(K74)),(K74-J74),"")</f>
        <v/>
      </c>
      <c r="R74" s="11">
        <f>IF(AND(ISNUMBER(K74),ISNUMBER(L74)),(L74-K74),"")</f>
        <v/>
      </c>
      <c r="S74" s="11">
        <f>IF(AND(ISNUMBER(F74),ISNUMBER(L74)),(L74-F74),"")</f>
        <v/>
      </c>
      <c r="T74" s="11">
        <f>IF(AND(ISNUMBER(D74),ISNUMBER(L74)),(L74-D74),"")</f>
        <v/>
      </c>
    </row>
    <row r="75">
      <c r="A75" s="3" t="inlineStr">
        <is>
          <t>12074</t>
        </is>
      </c>
      <c r="B75" s="9" t="n">
        <v>176</v>
      </c>
      <c r="C75" s="3" t="inlineStr">
        <is>
          <t>703</t>
        </is>
      </c>
      <c r="D75" s="10" t="n">
        <v>45669.49166666667</v>
      </c>
      <c r="E75" s="10" t="n">
        <v>45669.49166666667</v>
      </c>
      <c r="F75" s="10" t="n">
        <v>45669.49366898148</v>
      </c>
      <c r="G75" s="10" t="n">
        <v>45669.49366898148</v>
      </c>
      <c r="H75" s="10" t="n">
        <v>45669.49644675926</v>
      </c>
      <c r="I75" s="10" t="n">
        <v>45669.5002662037</v>
      </c>
      <c r="J75" s="10" t="n">
        <v>45669.5002662037</v>
      </c>
      <c r="K75" s="10" t="n">
        <v>45669.50103009259</v>
      </c>
      <c r="L75" s="10" t="n">
        <v>45669.50630787037</v>
      </c>
      <c r="M75" s="11">
        <f>IF(AND(ISNUMBER(D75),ISNUMBER(E75)),(E75-D75),"")</f>
        <v/>
      </c>
      <c r="N75" s="11">
        <f>IF(AND(ISNUMBER(E75),ISNUMBER(F75)),(F75-E75),"")</f>
        <v/>
      </c>
      <c r="O75" s="11">
        <f>IF(AND(ISNUMBER(G75),ISNUMBER(H75)),(H75-G75),"")</f>
        <v/>
      </c>
      <c r="P75" s="11">
        <f>IF(AND(ISNUMBER(H75),ISNUMBER(I75)),(I75-H75),"")</f>
        <v/>
      </c>
      <c r="Q75" s="11">
        <f>IF(AND(ISNUMBER(J75),ISNUMBER(K75)),(K75-J75),"")</f>
        <v/>
      </c>
      <c r="R75" s="11">
        <f>IF(AND(ISNUMBER(K75),ISNUMBER(L75)),(L75-K75),"")</f>
        <v/>
      </c>
      <c r="S75" s="11">
        <f>IF(AND(ISNUMBER(F75),ISNUMBER(L75)),(L75-F75),"")</f>
        <v/>
      </c>
      <c r="T75" s="11">
        <f>IF(AND(ISNUMBER(D75),ISNUMBER(L75)),(L75-D75),"")</f>
        <v/>
      </c>
    </row>
    <row r="76">
      <c r="A76" s="3" t="inlineStr">
        <is>
          <t>12075</t>
        </is>
      </c>
      <c r="B76" s="9" t="n">
        <v>144</v>
      </c>
      <c r="C76" s="3" t="inlineStr">
        <is>
          <t>703</t>
        </is>
      </c>
      <c r="D76" s="10" t="n">
        <v>45669.66666666666</v>
      </c>
      <c r="E76" s="10" t="n">
        <v>45669.66666666666</v>
      </c>
      <c r="F76" s="10" t="n">
        <v>45669.66858796297</v>
      </c>
      <c r="G76" s="10" t="n">
        <v>45669.66858796297</v>
      </c>
      <c r="H76" s="10" t="n">
        <v>45669.67136574074</v>
      </c>
      <c r="I76" s="10" t="n">
        <v>45669.67428240741</v>
      </c>
      <c r="J76" s="10" t="n">
        <v>45669.67428240741</v>
      </c>
      <c r="K76" s="10" t="n">
        <v>45669.67515046296</v>
      </c>
      <c r="L76" s="10" t="n">
        <v>45669.68032407408</v>
      </c>
      <c r="M76" s="11">
        <f>IF(AND(ISNUMBER(D76),ISNUMBER(E76)),(E76-D76),"")</f>
        <v/>
      </c>
      <c r="N76" s="11">
        <f>IF(AND(ISNUMBER(E76),ISNUMBER(F76)),(F76-E76),"")</f>
        <v/>
      </c>
      <c r="O76" s="11">
        <f>IF(AND(ISNUMBER(G76),ISNUMBER(H76)),(H76-G76),"")</f>
        <v/>
      </c>
      <c r="P76" s="11">
        <f>IF(AND(ISNUMBER(H76),ISNUMBER(I76)),(I76-H76),"")</f>
        <v/>
      </c>
      <c r="Q76" s="11">
        <f>IF(AND(ISNUMBER(J76),ISNUMBER(K76)),(K76-J76),"")</f>
        <v/>
      </c>
      <c r="R76" s="11">
        <f>IF(AND(ISNUMBER(K76),ISNUMBER(L76)),(L76-K76),"")</f>
        <v/>
      </c>
      <c r="S76" s="11">
        <f>IF(AND(ISNUMBER(F76),ISNUMBER(L76)),(L76-F76),"")</f>
        <v/>
      </c>
      <c r="T76" s="11">
        <f>IF(AND(ISNUMBER(D76),ISNUMBER(L76)),(L76-D76),"")</f>
        <v/>
      </c>
    </row>
    <row r="77">
      <c r="A77" s="3" t="inlineStr">
        <is>
          <t>12076</t>
        </is>
      </c>
      <c r="B77" s="9" t="n">
        <v>160</v>
      </c>
      <c r="C77" s="3" t="inlineStr">
        <is>
          <t>703</t>
        </is>
      </c>
      <c r="D77" s="10" t="n">
        <v>45669.79166666666</v>
      </c>
      <c r="E77" s="10" t="n">
        <v>45669.79166666666</v>
      </c>
      <c r="F77" s="10" t="n">
        <v>45669.79362268518</v>
      </c>
      <c r="G77" s="10" t="n">
        <v>45669.79362268518</v>
      </c>
      <c r="H77" s="10" t="n">
        <v>45669.79640046296</v>
      </c>
      <c r="I77" s="10" t="n">
        <v>45669.79893518519</v>
      </c>
      <c r="J77" s="10" t="n">
        <v>45669.79893518519</v>
      </c>
      <c r="K77" s="10" t="n">
        <v>45669.79969907407</v>
      </c>
      <c r="L77" s="10" t="n">
        <v>45669.80329861111</v>
      </c>
      <c r="M77" s="11">
        <f>IF(AND(ISNUMBER(D77),ISNUMBER(E77)),(E77-D77),"")</f>
        <v/>
      </c>
      <c r="N77" s="11">
        <f>IF(AND(ISNUMBER(E77),ISNUMBER(F77)),(F77-E77),"")</f>
        <v/>
      </c>
      <c r="O77" s="11">
        <f>IF(AND(ISNUMBER(G77),ISNUMBER(H77)),(H77-G77),"")</f>
        <v/>
      </c>
      <c r="P77" s="11">
        <f>IF(AND(ISNUMBER(H77),ISNUMBER(I77)),(I77-H77),"")</f>
        <v/>
      </c>
      <c r="Q77" s="11">
        <f>IF(AND(ISNUMBER(J77),ISNUMBER(K77)),(K77-J77),"")</f>
        <v/>
      </c>
      <c r="R77" s="11">
        <f>IF(AND(ISNUMBER(K77),ISNUMBER(L77)),(L77-K77),"")</f>
        <v/>
      </c>
      <c r="S77" s="11">
        <f>IF(AND(ISNUMBER(F77),ISNUMBER(L77)),(L77-F77),"")</f>
        <v/>
      </c>
      <c r="T77" s="11">
        <f>IF(AND(ISNUMBER(D77),ISNUMBER(L77)),(L77-D77),"")</f>
        <v/>
      </c>
    </row>
    <row r="78">
      <c r="A78" s="3" t="inlineStr">
        <is>
          <t>12077</t>
        </is>
      </c>
      <c r="B78" s="9" t="n">
        <v>224</v>
      </c>
      <c r="C78" s="3" t="inlineStr">
        <is>
          <t>703</t>
        </is>
      </c>
      <c r="D78" s="10" t="n">
        <v>45669.91666666666</v>
      </c>
      <c r="E78" s="10" t="n">
        <v>45669.91666666666</v>
      </c>
      <c r="F78" s="10" t="n">
        <v>45669.91877314815</v>
      </c>
      <c r="G78" s="10" t="n">
        <v>45669.91877314815</v>
      </c>
      <c r="H78" s="10" t="n">
        <v>45669.92155092592</v>
      </c>
      <c r="I78" s="10" t="n">
        <v>45669.92410879629</v>
      </c>
      <c r="J78" s="10" t="n">
        <v>45669.92410879629</v>
      </c>
      <c r="K78" s="10" t="n">
        <v>45669.92497685185</v>
      </c>
      <c r="L78" s="10" t="n">
        <v>45669.92673611111</v>
      </c>
      <c r="M78" s="11">
        <f>IF(AND(ISNUMBER(D78),ISNUMBER(E78)),(E78-D78),"")</f>
        <v/>
      </c>
      <c r="N78" s="11">
        <f>IF(AND(ISNUMBER(E78),ISNUMBER(F78)),(F78-E78),"")</f>
        <v/>
      </c>
      <c r="O78" s="11">
        <f>IF(AND(ISNUMBER(G78),ISNUMBER(H78)),(H78-G78),"")</f>
        <v/>
      </c>
      <c r="P78" s="11">
        <f>IF(AND(ISNUMBER(H78),ISNUMBER(I78)),(I78-H78),"")</f>
        <v/>
      </c>
      <c r="Q78" s="11">
        <f>IF(AND(ISNUMBER(J78),ISNUMBER(K78)),(K78-J78),"")</f>
        <v/>
      </c>
      <c r="R78" s="11">
        <f>IF(AND(ISNUMBER(K78),ISNUMBER(L78)),(L78-K78),"")</f>
        <v/>
      </c>
      <c r="S78" s="11">
        <f>IF(AND(ISNUMBER(F78),ISNUMBER(L78)),(L78-F78),"")</f>
        <v/>
      </c>
      <c r="T78" s="11">
        <f>IF(AND(ISNUMBER(D78),ISNUMBER(L78)),(L78-D78),"")</f>
        <v/>
      </c>
    </row>
  </sheetData>
  <autoFilter ref="A1:T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8.19999999999999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19" customWidth="1" min="15" max="15"/>
    <col width="8.199999999999999" customWidth="1" min="16" max="16"/>
    <col width="100" customWidth="1" min="17" max="17"/>
  </cols>
  <sheetData>
    <row r="1" ht="45" customHeight="1">
      <c r="A1" s="1" t="inlineStr">
        <is>
          <t>ID</t>
        </is>
      </c>
      <c r="B1" s="1" t="inlineStr">
        <is>
          <t>Parent incoming train</t>
        </is>
      </c>
      <c r="C1" s="1" t="inlineStr">
        <is>
          <t>Length (m)</t>
        </is>
      </c>
      <c r="D1" s="1" t="inlineStr">
        <is>
          <t>Destination</t>
        </is>
      </c>
      <c r="E1" s="1" t="inlineStr">
        <is>
          <t>At arrival track</t>
        </is>
      </c>
      <c r="F1" s="1" t="inlineStr">
        <is>
          <t>PushOffDrive starts</t>
        </is>
      </c>
      <c r="G1" s="1" t="inlineStr">
        <is>
          <t>PushOffDrive ends</t>
        </is>
      </c>
      <c r="H1" s="1" t="inlineStr">
        <is>
          <t>Parent outbound train</t>
        </is>
      </c>
      <c r="I1" s="1" t="inlineStr">
        <is>
          <t>OBTP starts</t>
        </is>
      </c>
      <c r="J1" s="1" t="inlineStr">
        <is>
          <t>OBTP ends</t>
        </is>
      </c>
      <c r="K1" s="1" t="inlineStr">
        <is>
          <t>Departure drive starts</t>
        </is>
      </c>
      <c r="L1" s="1" t="inlineStr">
        <is>
          <t>Departure drive ends</t>
        </is>
      </c>
      <c r="M1" s="1" t="inlineStr">
        <is>
          <t>Time in arrival yard (hh:mm:ss)</t>
        </is>
      </c>
      <c r="N1" s="1" t="inlineStr">
        <is>
          <t>Time in classification yard (hh:mm:ss)</t>
        </is>
      </c>
      <c r="O1" s="1" t="inlineStr">
        <is>
          <t>SEC/COP end</t>
        </is>
      </c>
      <c r="P1" s="1" t="inlineStr">
        <is>
          <t>Idle time on classification track (hh:mm:ss)</t>
        </is>
      </c>
      <c r="Q1" s="1" t="inlineStr">
        <is>
          <t>Classification context</t>
        </is>
      </c>
    </row>
    <row r="2">
      <c r="A2" s="3" t="inlineStr">
        <is>
          <t>1200101</t>
        </is>
      </c>
      <c r="B2" s="3" t="inlineStr">
        <is>
          <t>12001</t>
        </is>
      </c>
      <c r="C2" s="9" t="n">
        <v>32</v>
      </c>
      <c r="D2" s="3" t="inlineStr">
        <is>
          <t>Graz</t>
        </is>
      </c>
      <c r="E2" s="10" t="n">
        <v>45663.21043981481</v>
      </c>
      <c r="F2" s="10" t="n">
        <v>45663.22166666666</v>
      </c>
      <c r="G2" s="10" t="n">
        <v>45663.2237962963</v>
      </c>
      <c r="H2" s="3" t="inlineStr">
        <is>
          <t>OBT060125053957-Graz</t>
        </is>
      </c>
      <c r="I2" s="10" t="n">
        <v>45663.23690972223</v>
      </c>
      <c r="J2" s="10" t="n">
        <v>45663.25635416667</v>
      </c>
      <c r="K2" s="10" t="n">
        <v>45663.25635416667</v>
      </c>
      <c r="L2" s="10" t="n">
        <v>45663.25700231481</v>
      </c>
      <c r="M2" s="11">
        <f>IF(AND(ISNUMBER(E2),ISNUMBER(G2)),(G2-E2),"")</f>
        <v/>
      </c>
      <c r="N2" s="11">
        <f>IF(AND(ISNUMBER(G2),ISNUMBER(L2)),(L2-G2),"")</f>
        <v/>
      </c>
      <c r="O2" s="10" t="n">
        <v>45663.23607638889</v>
      </c>
      <c r="P2" s="11">
        <f>IF(AND(ISNUMBER(I2),ISNUMBER(O2)),(I2-O2),"")</f>
        <v/>
      </c>
      <c r="Q2" s="12" t="inlineStr">
        <is>
          <t>WG 1200101 (already coupled to WG 1200102 from the inbound train) entered track and got secured, OBTP started on 05:41:09 finished on 06:09:09 and then left at 06:10:05</t>
        </is>
      </c>
    </row>
    <row r="3">
      <c r="A3" s="3" t="inlineStr">
        <is>
          <t>1200102</t>
        </is>
      </c>
      <c r="B3" s="3" t="inlineStr">
        <is>
          <t>12001</t>
        </is>
      </c>
      <c r="C3" s="9" t="n">
        <v>80</v>
      </c>
      <c r="D3" s="3" t="inlineStr">
        <is>
          <t>Graz</t>
        </is>
      </c>
      <c r="E3" s="10" t="n">
        <v>45663.21043981481</v>
      </c>
      <c r="F3" s="10" t="n">
        <v>45663.22166666666</v>
      </c>
      <c r="G3" s="10" t="n">
        <v>45663.2237962963</v>
      </c>
      <c r="H3" s="3" t="inlineStr">
        <is>
          <t>OBT060125053957-Graz</t>
        </is>
      </c>
      <c r="I3" s="10" t="n">
        <v>45663.23690972223</v>
      </c>
      <c r="J3" s="10" t="n">
        <v>45663.25635416667</v>
      </c>
      <c r="K3" s="10" t="n">
        <v>45663.25635416667</v>
      </c>
      <c r="L3" s="10" t="n">
        <v>45663.25700231481</v>
      </c>
      <c r="M3" s="11">
        <f>IF(AND(ISNUMBER(E3),ISNUMBER(G3)),(G3-E3),"")</f>
        <v/>
      </c>
      <c r="N3" s="11">
        <f>IF(AND(ISNUMBER(G3),ISNUMBER(L3)),(L3-G3),"")</f>
        <v/>
      </c>
      <c r="O3" s="10" t="n">
        <v>45663.23607638889</v>
      </c>
      <c r="P3" s="11">
        <f>IF(AND(ISNUMBER(I3),ISNUMBER(O3)),(I3-O3),"")</f>
        <v/>
      </c>
      <c r="Q3" s="12" t="inlineStr">
        <is>
          <t>WG 1200102 (already coupled to WG 1200101 from the inbound train) entered track and got secured, OBTP started on 05:41:09 finished on 06:09:09 and then left at 06:10:05</t>
        </is>
      </c>
    </row>
    <row r="4">
      <c r="A4" s="3" t="inlineStr">
        <is>
          <t>1200103</t>
        </is>
      </c>
      <c r="B4" s="3" t="inlineStr">
        <is>
          <t>12001</t>
        </is>
      </c>
      <c r="C4" s="9" t="n">
        <v>80</v>
      </c>
      <c r="D4" s="3" t="inlineStr">
        <is>
          <t>Ljubljana</t>
        </is>
      </c>
      <c r="E4" s="10" t="n">
        <v>45663.21043981481</v>
      </c>
      <c r="F4" s="10" t="n">
        <v>45663.2237962963</v>
      </c>
      <c r="G4" s="10" t="n">
        <v>45663.22597222222</v>
      </c>
      <c r="H4" s="3" t="inlineStr">
        <is>
          <t>OBT070125064013-Ljubljana</t>
        </is>
      </c>
      <c r="I4" s="10" t="n">
        <v>45664.28612268518</v>
      </c>
      <c r="J4" s="10" t="n">
        <v>45664.31945601852</v>
      </c>
      <c r="K4" s="10" t="n">
        <v>45664.31945601852</v>
      </c>
      <c r="L4" s="10" t="n">
        <v>45664.32040509259</v>
      </c>
      <c r="M4" s="11">
        <f>IF(AND(ISNUMBER(E4),ISNUMBER(G4)),(G4-E4),"")</f>
        <v/>
      </c>
      <c r="N4" s="11">
        <f>IF(AND(ISNUMBER(G4),ISNUMBER(L4)),(L4-G4),"")</f>
        <v/>
      </c>
      <c r="O4" s="10" t="n">
        <v>45663.23416666667</v>
      </c>
      <c r="P4" s="11">
        <f>IF(AND(ISNUMBER(I4),ISNUMBER(O4)),(I4-O4),"")</f>
        <v/>
      </c>
      <c r="Q4" s="12" t="inlineStr">
        <is>
          <t>WG 1200103 entered track and got secured then waited 25:03:01 for cut 1200602+1200603 to get coupled, OBTP started on 06:52:01 finished on 07:40:01 and then left at 07:41:23</t>
        </is>
      </c>
    </row>
    <row r="5">
      <c r="A5" s="3" t="inlineStr">
        <is>
          <t>1200104</t>
        </is>
      </c>
      <c r="B5" s="3" t="inlineStr">
        <is>
          <t>12001</t>
        </is>
      </c>
      <c r="C5" s="9" t="n">
        <v>32</v>
      </c>
      <c r="D5" s="3" t="inlineStr">
        <is>
          <t>Graz</t>
        </is>
      </c>
      <c r="E5" s="10" t="n">
        <v>45663.21043981481</v>
      </c>
      <c r="F5" s="10" t="n">
        <v>45663.22597222222</v>
      </c>
      <c r="G5" s="10" t="n">
        <v>45663.22773148148</v>
      </c>
      <c r="H5" s="3" t="inlineStr">
        <is>
          <t>OBT060125151513-Graz</t>
        </is>
      </c>
      <c r="I5" s="10" t="n">
        <v>45663.63643518519</v>
      </c>
      <c r="J5" s="10" t="n">
        <v>45663.65865740741</v>
      </c>
      <c r="K5" s="10" t="n">
        <v>45663.65865740741</v>
      </c>
      <c r="L5" s="10" t="n">
        <v>45663.65954861111</v>
      </c>
      <c r="M5" s="11">
        <f>IF(AND(ISNUMBER(E5),ISNUMBER(G5)),(G5-E5),"")</f>
        <v/>
      </c>
      <c r="N5" s="11">
        <f>IF(AND(ISNUMBER(G5),ISNUMBER(L5)),(L5-G5),"")</f>
        <v/>
      </c>
      <c r="O5" s="10" t="n">
        <v>45663.23182870371</v>
      </c>
      <c r="P5" s="11">
        <f>IF(AND(ISNUMBER(I5),ISNUMBER(O5)),(I5-O5),"")</f>
        <v/>
      </c>
      <c r="Q5" s="12" t="inlineStr">
        <is>
          <t>WG 1200104 entered track and got secured then waited 9:40:10 for WG 1200504 to get coupled then waited 0:01:13 for WG 1200501 to get coupled, OBTP started on 15:16:28 finished on 15:48:28 and then left at 15:49:45</t>
        </is>
      </c>
    </row>
    <row r="6">
      <c r="A6" s="3" t="inlineStr">
        <is>
          <t>1200201</t>
        </is>
      </c>
      <c r="B6" s="3" t="inlineStr">
        <is>
          <t>12002</t>
        </is>
      </c>
      <c r="C6" s="9" t="n">
        <v>64</v>
      </c>
      <c r="D6" s="3" t="inlineStr">
        <is>
          <t>Ljubljana</t>
        </is>
      </c>
      <c r="E6" s="10" t="n">
        <v>45663.20996527778</v>
      </c>
      <c r="F6" s="10" t="n">
        <v>45663.21689814814</v>
      </c>
      <c r="G6" s="10" t="n">
        <v>45663.21814814815</v>
      </c>
      <c r="H6" s="3" t="inlineStr">
        <is>
          <t>OBT060125052942-Ljubljana</t>
        </is>
      </c>
      <c r="I6" s="10" t="n">
        <v>45663.23068287037</v>
      </c>
      <c r="J6" s="10" t="n">
        <v>45663.25012731482</v>
      </c>
      <c r="K6" s="10" t="n">
        <v>45663.25012731482</v>
      </c>
      <c r="L6" s="10" t="n">
        <v>45663.25084490741</v>
      </c>
      <c r="M6" s="11">
        <f>IF(AND(ISNUMBER(E6),ISNUMBER(G6)),(G6-E6),"")</f>
        <v/>
      </c>
      <c r="N6" s="11">
        <f>IF(AND(ISNUMBER(G6),ISNUMBER(L6)),(L6-G6),"")</f>
        <v/>
      </c>
      <c r="O6" s="10" t="n">
        <v>45663.22486111111</v>
      </c>
      <c r="P6" s="11">
        <f>IF(AND(ISNUMBER(I6),ISNUMBER(O6)),(I6-O6),"")</f>
        <v/>
      </c>
      <c r="Q6" s="12" t="inlineStr">
        <is>
          <t>WG 1200201 entered track and got secured then waited 0:05:54 for WG 1200204 to get coupled, OBTP started on 05:32:11 finished on 06:00:11 and then left at 06:01:13</t>
        </is>
      </c>
    </row>
    <row r="7">
      <c r="A7" s="3" t="inlineStr">
        <is>
          <t>1200202</t>
        </is>
      </c>
      <c r="B7" s="3" t="inlineStr">
        <is>
          <t>12002</t>
        </is>
      </c>
      <c r="C7" s="9" t="n">
        <v>48</v>
      </c>
      <c r="D7" s="3" t="inlineStr">
        <is>
          <t>Linz</t>
        </is>
      </c>
      <c r="E7" s="10" t="n">
        <v>45663.20996527778</v>
      </c>
      <c r="F7" s="10" t="n">
        <v>45663.21814814815</v>
      </c>
      <c r="G7" s="10" t="n">
        <v>45663.21957175926</v>
      </c>
      <c r="H7" s="3" t="inlineStr">
        <is>
          <t>OBT070125062515-Linz</t>
        </is>
      </c>
      <c r="I7" s="10" t="n">
        <v>45664.26837962963</v>
      </c>
      <c r="J7" s="10" t="n">
        <v>45664.29337962963</v>
      </c>
      <c r="K7" s="10" t="n">
        <v>45664.29337962963</v>
      </c>
      <c r="L7" s="10" t="n">
        <v>45664.29414351852</v>
      </c>
      <c r="M7" s="11">
        <f>IF(AND(ISNUMBER(E7),ISNUMBER(G7)),(G7-E7),"")</f>
        <v/>
      </c>
      <c r="N7" s="11">
        <f>IF(AND(ISNUMBER(G7),ISNUMBER(L7)),(L7-G7),"")</f>
        <v/>
      </c>
      <c r="O7" s="10" t="n">
        <v>45663.22923611111</v>
      </c>
      <c r="P7" s="11">
        <f>IF(AND(ISNUMBER(I7),ISNUMBER(O7)),(I7-O7),"")</f>
        <v/>
      </c>
      <c r="Q7" s="12" t="inlineStr">
        <is>
          <t>WG 1200202 (already coupled to WG 1200203 from the inbound train) entered track and got secured then waited 24:55:09 for WG 1200601 to get coupled, OBTP started on 06:26:28 finished on 07:02:28 and then left at 07:03:34</t>
        </is>
      </c>
    </row>
    <row r="8">
      <c r="A8" s="3" t="inlineStr">
        <is>
          <t>1200203</t>
        </is>
      </c>
      <c r="B8" s="3" t="inlineStr">
        <is>
          <t>12002</t>
        </is>
      </c>
      <c r="C8" s="9" t="n">
        <v>48</v>
      </c>
      <c r="D8" s="3" t="inlineStr">
        <is>
          <t>Linz</t>
        </is>
      </c>
      <c r="E8" s="10" t="n">
        <v>45663.20996527778</v>
      </c>
      <c r="F8" s="10" t="n">
        <v>45663.21814814815</v>
      </c>
      <c r="G8" s="10" t="n">
        <v>45663.21957175926</v>
      </c>
      <c r="H8" s="3" t="inlineStr">
        <is>
          <t>OBT070125062515-Linz</t>
        </is>
      </c>
      <c r="I8" s="10" t="n">
        <v>45664.26837962963</v>
      </c>
      <c r="J8" s="10" t="n">
        <v>45664.29337962963</v>
      </c>
      <c r="K8" s="10" t="n">
        <v>45664.29337962963</v>
      </c>
      <c r="L8" s="10" t="n">
        <v>45664.29414351852</v>
      </c>
      <c r="M8" s="11">
        <f>IF(AND(ISNUMBER(E8),ISNUMBER(G8)),(G8-E8),"")</f>
        <v/>
      </c>
      <c r="N8" s="11">
        <f>IF(AND(ISNUMBER(G8),ISNUMBER(L8)),(L8-G8),"")</f>
        <v/>
      </c>
      <c r="O8" s="10" t="n">
        <v>45663.22923611111</v>
      </c>
      <c r="P8" s="11">
        <f>IF(AND(ISNUMBER(I8),ISNUMBER(O8)),(I8-O8),"")</f>
        <v/>
      </c>
      <c r="Q8" s="12" t="inlineStr">
        <is>
          <t>WG 1200203 (already coupled to WG 1200202 from the inbound train) entered track and got secured then waited 24:55:09 for WG 1200601 to get coupled, OBTP started on 06:26:28 finished on 07:02:28 and then left at 07:03:34</t>
        </is>
      </c>
    </row>
    <row r="9">
      <c r="A9" s="3" t="inlineStr">
        <is>
          <t>1200204</t>
        </is>
      </c>
      <c r="B9" s="3" t="inlineStr">
        <is>
          <t>12002</t>
        </is>
      </c>
      <c r="C9" s="9" t="n">
        <v>48</v>
      </c>
      <c r="D9" s="3" t="inlineStr">
        <is>
          <t>Ljubljana</t>
        </is>
      </c>
      <c r="E9" s="10" t="n">
        <v>45663.20996527778</v>
      </c>
      <c r="F9" s="10" t="n">
        <v>45663.21957175926</v>
      </c>
      <c r="G9" s="10" t="n">
        <v>45663.22078703704</v>
      </c>
      <c r="H9" s="3" t="inlineStr">
        <is>
          <t>OBT060125052942-Ljubljana</t>
        </is>
      </c>
      <c r="I9" s="10" t="n">
        <v>45663.23068287037</v>
      </c>
      <c r="J9" s="10" t="n">
        <v>45663.25012731482</v>
      </c>
      <c r="K9" s="10" t="n">
        <v>45663.25012731482</v>
      </c>
      <c r="L9" s="10" t="n">
        <v>45663.25084490741</v>
      </c>
      <c r="M9" s="11">
        <f>IF(AND(ISNUMBER(E9),ISNUMBER(G9)),(G9-E9),"")</f>
        <v/>
      </c>
      <c r="N9" s="11">
        <f>IF(AND(ISNUMBER(G9),ISNUMBER(L9)),(L9-G9),"")</f>
        <v/>
      </c>
      <c r="O9" s="10" t="n">
        <v>45663.22895833333</v>
      </c>
      <c r="P9" s="11">
        <f>IF(AND(ISNUMBER(I9),ISNUMBER(O9)),(I9-O9),"")</f>
        <v/>
      </c>
      <c r="Q9" s="12" t="inlineStr">
        <is>
          <t>WG 1200204 entered track and got coupled to WG 1200201, OBTP started on 05:32:11 finished on 06:00:11 and then left at 06:01:13</t>
        </is>
      </c>
    </row>
    <row r="10">
      <c r="A10" s="3" t="inlineStr">
        <is>
          <t>1200301</t>
        </is>
      </c>
      <c r="B10" s="3" t="inlineStr">
        <is>
          <t>12003</t>
        </is>
      </c>
      <c r="C10" s="9" t="n">
        <v>32</v>
      </c>
      <c r="D10" s="3" t="inlineStr">
        <is>
          <t>Innsbruck</t>
        </is>
      </c>
      <c r="E10" s="10" t="n">
        <v>45663.31445601852</v>
      </c>
      <c r="F10" s="10" t="n">
        <v>45663.32064814815</v>
      </c>
      <c r="G10" s="10" t="n">
        <v>45663.3221412037</v>
      </c>
      <c r="H10" s="3" t="inlineStr">
        <is>
          <t>OBT060125080833-Innsbruck</t>
        </is>
      </c>
      <c r="I10" s="10" t="n">
        <v>45663.34013888889</v>
      </c>
      <c r="J10" s="10" t="n">
        <v>45663.36791666667</v>
      </c>
      <c r="K10" s="10" t="n">
        <v>45663.36791666667</v>
      </c>
      <c r="L10" s="10" t="n">
        <v>45663.36876157407</v>
      </c>
      <c r="M10" s="11">
        <f>IF(AND(ISNUMBER(E10),ISNUMBER(G10)),(G10-E10),"")</f>
        <v/>
      </c>
      <c r="N10" s="11">
        <f>IF(AND(ISNUMBER(G10),ISNUMBER(L10)),(L10-G10),"")</f>
        <v/>
      </c>
      <c r="O10" s="10" t="n">
        <v>45663.33927083333</v>
      </c>
      <c r="P10" s="11">
        <f>IF(AND(ISNUMBER(I10),ISNUMBER(O10)),(I10-O10),"")</f>
        <v/>
      </c>
      <c r="Q10" s="12" t="inlineStr">
        <is>
          <t>WG 1200301 (already coupled to WG 1200302, WG 1200303 from the inbound train) entered track and got secured, OBTP started on 08:09:48 finished on 08:49:48 and then left at 08:51:01</t>
        </is>
      </c>
    </row>
    <row r="11">
      <c r="A11" s="3" t="inlineStr">
        <is>
          <t>1200302</t>
        </is>
      </c>
      <c r="B11" s="3" t="inlineStr">
        <is>
          <t>12003</t>
        </is>
      </c>
      <c r="C11" s="9" t="n">
        <v>80</v>
      </c>
      <c r="D11" s="3" t="inlineStr">
        <is>
          <t>Innsbruck</t>
        </is>
      </c>
      <c r="E11" s="10" t="n">
        <v>45663.31445601852</v>
      </c>
      <c r="F11" s="10" t="n">
        <v>45663.32064814815</v>
      </c>
      <c r="G11" s="10" t="n">
        <v>45663.3221412037</v>
      </c>
      <c r="H11" s="3" t="inlineStr">
        <is>
          <t>OBT060125080833-Innsbruck</t>
        </is>
      </c>
      <c r="I11" s="10" t="n">
        <v>45663.34013888889</v>
      </c>
      <c r="J11" s="10" t="n">
        <v>45663.36791666667</v>
      </c>
      <c r="K11" s="10" t="n">
        <v>45663.36791666667</v>
      </c>
      <c r="L11" s="10" t="n">
        <v>45663.36876157407</v>
      </c>
      <c r="M11" s="11">
        <f>IF(AND(ISNUMBER(E11),ISNUMBER(G11)),(G11-E11),"")</f>
        <v/>
      </c>
      <c r="N11" s="11">
        <f>IF(AND(ISNUMBER(G11),ISNUMBER(L11)),(L11-G11),"")</f>
        <v/>
      </c>
      <c r="O11" s="10" t="n">
        <v>45663.33927083333</v>
      </c>
      <c r="P11" s="11">
        <f>IF(AND(ISNUMBER(I11),ISNUMBER(O11)),(I11-O11),"")</f>
        <v/>
      </c>
      <c r="Q11" s="12" t="inlineStr">
        <is>
          <t>WG 1200302 (already coupled to WG 1200301, WG 1200303 from the inbound train) entered track and got secured, OBTP started on 08:09:48 finished on 08:49:48 and then left at 08:51:01</t>
        </is>
      </c>
    </row>
    <row r="12">
      <c r="A12" s="3" t="inlineStr">
        <is>
          <t>1200303</t>
        </is>
      </c>
      <c r="B12" s="3" t="inlineStr">
        <is>
          <t>12003</t>
        </is>
      </c>
      <c r="C12" s="9" t="n">
        <v>48</v>
      </c>
      <c r="D12" s="3" t="inlineStr">
        <is>
          <t>Innsbruck</t>
        </is>
      </c>
      <c r="E12" s="10" t="n">
        <v>45663.31445601852</v>
      </c>
      <c r="F12" s="10" t="n">
        <v>45663.32064814815</v>
      </c>
      <c r="G12" s="10" t="n">
        <v>45663.3221412037</v>
      </c>
      <c r="H12" s="3" t="inlineStr">
        <is>
          <t>OBT060125080833-Innsbruck</t>
        </is>
      </c>
      <c r="I12" s="10" t="n">
        <v>45663.34013888889</v>
      </c>
      <c r="J12" s="10" t="n">
        <v>45663.36791666667</v>
      </c>
      <c r="K12" s="10" t="n">
        <v>45663.36791666667</v>
      </c>
      <c r="L12" s="10" t="n">
        <v>45663.36876157407</v>
      </c>
      <c r="M12" s="11">
        <f>IF(AND(ISNUMBER(E12),ISNUMBER(G12)),(G12-E12),"")</f>
        <v/>
      </c>
      <c r="N12" s="11">
        <f>IF(AND(ISNUMBER(G12),ISNUMBER(L12)),(L12-G12),"")</f>
        <v/>
      </c>
      <c r="O12" s="10" t="n">
        <v>45663.33927083333</v>
      </c>
      <c r="P12" s="11">
        <f>IF(AND(ISNUMBER(I12),ISNUMBER(O12)),(I12-O12),"")</f>
        <v/>
      </c>
      <c r="Q12" s="12" t="inlineStr">
        <is>
          <t>WG 1200303 (already coupled to WG 1200301, WG 1200302 from the inbound train) entered track and got secured, OBTP started on 08:09:48 finished on 08:49:48 and then left at 08:51:01</t>
        </is>
      </c>
    </row>
    <row r="13">
      <c r="A13" s="3" t="inlineStr">
        <is>
          <t>1200401</t>
        </is>
      </c>
      <c r="B13" s="3" t="inlineStr">
        <is>
          <t>12004</t>
        </is>
      </c>
      <c r="C13" s="9" t="n">
        <v>32</v>
      </c>
      <c r="D13" s="3" t="inlineStr">
        <is>
          <t>Salzburg</t>
        </is>
      </c>
      <c r="E13" s="10" t="n">
        <v>45663.47056712963</v>
      </c>
      <c r="F13" s="10" t="n">
        <v>45663.47606481481</v>
      </c>
      <c r="G13" s="10" t="n">
        <v>45663.47741898148</v>
      </c>
      <c r="H13" s="3" t="inlineStr">
        <is>
          <t>OBT060125152158-Salzburg</t>
        </is>
      </c>
      <c r="I13" s="10" t="n">
        <v>45663.64112268519</v>
      </c>
      <c r="J13" s="10" t="n">
        <v>45663.67167824074</v>
      </c>
      <c r="K13" s="10" t="n">
        <v>45663.67167824074</v>
      </c>
      <c r="L13" s="10" t="n">
        <v>45663.67255787037</v>
      </c>
      <c r="M13" s="11">
        <f>IF(AND(ISNUMBER(E13),ISNUMBER(G13)),(G13-E13),"")</f>
        <v/>
      </c>
      <c r="N13" s="11">
        <f>IF(AND(ISNUMBER(G13),ISNUMBER(L13)),(L13-G13),"")</f>
        <v/>
      </c>
      <c r="O13" s="10" t="n">
        <v>45663.48709490741</v>
      </c>
      <c r="P13" s="11">
        <f>IF(AND(ISNUMBER(I13),ISNUMBER(O13)),(I13-O13),"")</f>
        <v/>
      </c>
      <c r="Q13" s="12" t="inlineStr">
        <is>
          <t>WG 1200401 (already coupled to WG 1200402 from the inbound train) entered track and got secured then waited 3:40:33 for cut 1200502+1200503 to get coupled, OBTP started on 15:23:13 finished on 16:07:13 and then left at 16:08:29</t>
        </is>
      </c>
    </row>
    <row r="14">
      <c r="A14" s="3" t="inlineStr">
        <is>
          <t>1200402</t>
        </is>
      </c>
      <c r="B14" s="3" t="inlineStr">
        <is>
          <t>12004</t>
        </is>
      </c>
      <c r="C14" s="9" t="n">
        <v>64</v>
      </c>
      <c r="D14" s="3" t="inlineStr">
        <is>
          <t>Salzburg</t>
        </is>
      </c>
      <c r="E14" s="10" t="n">
        <v>45663.47056712963</v>
      </c>
      <c r="F14" s="10" t="n">
        <v>45663.47606481481</v>
      </c>
      <c r="G14" s="10" t="n">
        <v>45663.47741898148</v>
      </c>
      <c r="H14" s="3" t="inlineStr">
        <is>
          <t>OBT060125152158-Salzburg</t>
        </is>
      </c>
      <c r="I14" s="10" t="n">
        <v>45663.64112268519</v>
      </c>
      <c r="J14" s="10" t="n">
        <v>45663.67167824074</v>
      </c>
      <c r="K14" s="10" t="n">
        <v>45663.67167824074</v>
      </c>
      <c r="L14" s="10" t="n">
        <v>45663.67255787037</v>
      </c>
      <c r="M14" s="11">
        <f>IF(AND(ISNUMBER(E14),ISNUMBER(G14)),(G14-E14),"")</f>
        <v/>
      </c>
      <c r="N14" s="11">
        <f>IF(AND(ISNUMBER(G14),ISNUMBER(L14)),(L14-G14),"")</f>
        <v/>
      </c>
      <c r="O14" s="10" t="n">
        <v>45663.48709490741</v>
      </c>
      <c r="P14" s="11">
        <f>IF(AND(ISNUMBER(I14),ISNUMBER(O14)),(I14-O14),"")</f>
        <v/>
      </c>
      <c r="Q14" s="12" t="inlineStr">
        <is>
          <t>WG 1200402 (already coupled to WG 1200401 from the inbound train) entered track and got secured then waited 3:40:33 for cut 1200502+1200503 to get coupled, OBTP started on 15:23:13 finished on 16:07:13 and then left at 16:08:29</t>
        </is>
      </c>
    </row>
    <row r="15">
      <c r="A15" s="3" t="inlineStr">
        <is>
          <t>1200501</t>
        </is>
      </c>
      <c r="B15" s="3" t="inlineStr">
        <is>
          <t>12005</t>
        </is>
      </c>
      <c r="C15" s="9" t="n">
        <v>64</v>
      </c>
      <c r="D15" s="3" t="inlineStr">
        <is>
          <t>Graz</t>
        </is>
      </c>
      <c r="E15" s="10" t="n">
        <v>45663.61658564815</v>
      </c>
      <c r="F15" s="10" t="n">
        <v>45663.62405092592</v>
      </c>
      <c r="G15" s="10" t="n">
        <v>45663.6258912037</v>
      </c>
      <c r="H15" s="3" t="inlineStr">
        <is>
          <t>OBT060125151513-Graz</t>
        </is>
      </c>
      <c r="I15" s="10" t="n">
        <v>45663.63643518519</v>
      </c>
      <c r="J15" s="10" t="n">
        <v>45663.65865740741</v>
      </c>
      <c r="K15" s="10" t="n">
        <v>45663.65865740741</v>
      </c>
      <c r="L15" s="10" t="n">
        <v>45663.65954861111</v>
      </c>
      <c r="M15" s="11">
        <f>IF(AND(ISNUMBER(E15),ISNUMBER(G15)),(G15-E15),"")</f>
        <v/>
      </c>
      <c r="N15" s="11">
        <f>IF(AND(ISNUMBER(G15),ISNUMBER(L15)),(L15-G15),"")</f>
        <v/>
      </c>
      <c r="O15" s="10" t="n">
        <v>45663.63556712963</v>
      </c>
      <c r="P15" s="11">
        <f>IF(AND(ISNUMBER(I15),ISNUMBER(O15)),(I15-O15),"")</f>
        <v/>
      </c>
      <c r="Q15" s="12" t="inlineStr">
        <is>
          <t>WG 1200501 entered track and got coupled to WG 1200504, OBTP started on 15:16:28 finished on 15:48:28 and then left at 15:49:45</t>
        </is>
      </c>
    </row>
    <row r="16">
      <c r="A16" s="3" t="inlineStr">
        <is>
          <t>1200502</t>
        </is>
      </c>
      <c r="B16" s="3" t="inlineStr">
        <is>
          <t>12005</t>
        </is>
      </c>
      <c r="C16" s="9" t="n">
        <v>32</v>
      </c>
      <c r="D16" s="3" t="inlineStr">
        <is>
          <t>Salzburg</t>
        </is>
      </c>
      <c r="E16" s="10" t="n">
        <v>45663.61658564815</v>
      </c>
      <c r="F16" s="10" t="n">
        <v>45663.6258912037</v>
      </c>
      <c r="G16" s="10" t="n">
        <v>45663.62719907407</v>
      </c>
      <c r="H16" s="3" t="inlineStr">
        <is>
          <t>OBT060125152158-Salzburg</t>
        </is>
      </c>
      <c r="I16" s="10" t="n">
        <v>45663.64112268519</v>
      </c>
      <c r="J16" s="10" t="n">
        <v>45663.67167824074</v>
      </c>
      <c r="K16" s="10" t="n">
        <v>45663.67167824074</v>
      </c>
      <c r="L16" s="10" t="n">
        <v>45663.67255787037</v>
      </c>
      <c r="M16" s="11">
        <f>IF(AND(ISNUMBER(E16),ISNUMBER(G16)),(G16-E16),"")</f>
        <v/>
      </c>
      <c r="N16" s="11">
        <f>IF(AND(ISNUMBER(G16),ISNUMBER(L16)),(L16-G16),"")</f>
        <v/>
      </c>
      <c r="O16" s="10" t="n">
        <v>45663.64025462963</v>
      </c>
      <c r="P16" s="11">
        <f>IF(AND(ISNUMBER(I16),ISNUMBER(O16)),(I16-O16),"")</f>
        <v/>
      </c>
      <c r="Q16" s="12" t="inlineStr">
        <is>
          <t>WG 1200502 (already coupled to WG 1200503 from the inbound train) entered track and got coupled to cut 1200401+1200402, OBTP started on 15:23:13 finished on 16:07:13 and then left at 16:08:29</t>
        </is>
      </c>
    </row>
    <row r="17">
      <c r="A17" s="3" t="inlineStr">
        <is>
          <t>1200503</t>
        </is>
      </c>
      <c r="B17" s="3" t="inlineStr">
        <is>
          <t>12005</t>
        </is>
      </c>
      <c r="C17" s="9" t="n">
        <v>48</v>
      </c>
      <c r="D17" s="3" t="inlineStr">
        <is>
          <t>Salzburg</t>
        </is>
      </c>
      <c r="E17" s="10" t="n">
        <v>45663.61658564815</v>
      </c>
      <c r="F17" s="10" t="n">
        <v>45663.6258912037</v>
      </c>
      <c r="G17" s="10" t="n">
        <v>45663.62719907407</v>
      </c>
      <c r="H17" s="3" t="inlineStr">
        <is>
          <t>OBT060125152158-Salzburg</t>
        </is>
      </c>
      <c r="I17" s="10" t="n">
        <v>45663.64112268519</v>
      </c>
      <c r="J17" s="10" t="n">
        <v>45663.67167824074</v>
      </c>
      <c r="K17" s="10" t="n">
        <v>45663.67167824074</v>
      </c>
      <c r="L17" s="10" t="n">
        <v>45663.67255787037</v>
      </c>
      <c r="M17" s="11">
        <f>IF(AND(ISNUMBER(E17),ISNUMBER(G17)),(G17-E17),"")</f>
        <v/>
      </c>
      <c r="N17" s="11">
        <f>IF(AND(ISNUMBER(G17),ISNUMBER(L17)),(L17-G17),"")</f>
        <v/>
      </c>
      <c r="O17" s="10" t="n">
        <v>45663.64025462963</v>
      </c>
      <c r="P17" s="11">
        <f>IF(AND(ISNUMBER(I17),ISNUMBER(O17)),(I17-O17),"")</f>
        <v/>
      </c>
      <c r="Q17" s="12" t="inlineStr">
        <is>
          <t>WG 1200503 (already coupled to WG 1200502 from the inbound train) entered track and got coupled to cut 1200401+1200402, OBTP started on 15:23:13 finished on 16:07:13 and then left at 16:08:29</t>
        </is>
      </c>
    </row>
    <row r="18">
      <c r="A18" s="3" t="inlineStr">
        <is>
          <t>1200504</t>
        </is>
      </c>
      <c r="B18" s="3" t="inlineStr">
        <is>
          <t>12005</t>
        </is>
      </c>
      <c r="C18" s="9" t="n">
        <v>32</v>
      </c>
      <c r="D18" s="3" t="inlineStr">
        <is>
          <t>Graz</t>
        </is>
      </c>
      <c r="E18" s="10" t="n">
        <v>45663.61658564815</v>
      </c>
      <c r="F18" s="10" t="n">
        <v>45663.62719907407</v>
      </c>
      <c r="G18" s="10" t="n">
        <v>45663.62895833333</v>
      </c>
      <c r="H18" s="3" t="inlineStr">
        <is>
          <t>OBT060125151513-Graz</t>
        </is>
      </c>
      <c r="I18" s="10" t="n">
        <v>45663.63643518519</v>
      </c>
      <c r="J18" s="10" t="n">
        <v>45663.65865740741</v>
      </c>
      <c r="K18" s="10" t="n">
        <v>45663.65865740741</v>
      </c>
      <c r="L18" s="10" t="n">
        <v>45663.65954861111</v>
      </c>
      <c r="M18" s="11">
        <f>IF(AND(ISNUMBER(E18),ISNUMBER(G18)),(G18-E18),"")</f>
        <v/>
      </c>
      <c r="N18" s="11">
        <f>IF(AND(ISNUMBER(G18),ISNUMBER(L18)),(L18-G18),"")</f>
        <v/>
      </c>
      <c r="O18" s="10" t="n">
        <v>45663.63472222222</v>
      </c>
      <c r="P18" s="11">
        <f>IF(AND(ISNUMBER(I18),ISNUMBER(O18)),(I18-O18),"")</f>
        <v/>
      </c>
      <c r="Q18" s="12" t="inlineStr">
        <is>
          <t>WG 1200504 entered track and got coupled to WG 1200104 then waited 0:01:13 for WG 1200501 to get coupled, OBTP started on 15:16:28 finished on 15:48:28 and then left at 15:49:45</t>
        </is>
      </c>
    </row>
    <row r="19">
      <c r="A19" s="3" t="inlineStr">
        <is>
          <t>1200601</t>
        </is>
      </c>
      <c r="B19" s="3" t="inlineStr">
        <is>
          <t>12006</t>
        </is>
      </c>
      <c r="C19" s="9" t="n">
        <v>48</v>
      </c>
      <c r="D19" s="3" t="inlineStr">
        <is>
          <t>Linz</t>
        </is>
      </c>
      <c r="E19" s="10" t="n">
        <v>45664.25195601852</v>
      </c>
      <c r="F19" s="10" t="n">
        <v>45664.25798611111</v>
      </c>
      <c r="G19" s="10" t="n">
        <v>45664.2593287037</v>
      </c>
      <c r="H19" s="3" t="inlineStr">
        <is>
          <t>OBT070125062515-Linz</t>
        </is>
      </c>
      <c r="I19" s="10" t="n">
        <v>45664.26837962963</v>
      </c>
      <c r="J19" s="10" t="n">
        <v>45664.29337962963</v>
      </c>
      <c r="K19" s="10" t="n">
        <v>45664.29337962963</v>
      </c>
      <c r="L19" s="10" t="n">
        <v>45664.29414351852</v>
      </c>
      <c r="M19" s="11">
        <f>IF(AND(ISNUMBER(E19),ISNUMBER(G19)),(G19-E19),"")</f>
        <v/>
      </c>
      <c r="N19" s="11">
        <f>IF(AND(ISNUMBER(G19),ISNUMBER(L19)),(L19-G19),"")</f>
        <v/>
      </c>
      <c r="O19" s="10" t="n">
        <v>45664.26753472222</v>
      </c>
      <c r="P19" s="11">
        <f>IF(AND(ISNUMBER(I19),ISNUMBER(O19)),(I19-O19),"")</f>
        <v/>
      </c>
      <c r="Q19" s="12" t="inlineStr">
        <is>
          <t>WG 1200601 entered track and got coupled to cut 1200202+1200203, OBTP started on 06:26:28 finished on 07:02:28 and then left at 07:03:34</t>
        </is>
      </c>
    </row>
    <row r="20">
      <c r="A20" s="3" t="inlineStr">
        <is>
          <t>1200602</t>
        </is>
      </c>
      <c r="B20" s="3" t="inlineStr">
        <is>
          <t>12006</t>
        </is>
      </c>
      <c r="C20" s="9" t="n">
        <v>64</v>
      </c>
      <c r="D20" s="3" t="inlineStr">
        <is>
          <t>Ljubljana</t>
        </is>
      </c>
      <c r="E20" s="10" t="n">
        <v>45664.25195601852</v>
      </c>
      <c r="F20" s="10" t="n">
        <v>45664.2593287037</v>
      </c>
      <c r="G20" s="10" t="n">
        <v>45664.26158564815</v>
      </c>
      <c r="H20" s="3" t="inlineStr">
        <is>
          <t>OBT070125064013-Ljubljana</t>
        </is>
      </c>
      <c r="I20" s="10" t="n">
        <v>45664.28612268518</v>
      </c>
      <c r="J20" s="10" t="n">
        <v>45664.31945601852</v>
      </c>
      <c r="K20" s="10" t="n">
        <v>45664.31945601852</v>
      </c>
      <c r="L20" s="10" t="n">
        <v>45664.32040509259</v>
      </c>
      <c r="M20" s="11">
        <f>IF(AND(ISNUMBER(E20),ISNUMBER(G20)),(G20-E20),"")</f>
        <v/>
      </c>
      <c r="N20" s="11">
        <f>IF(AND(ISNUMBER(G20),ISNUMBER(L20)),(L20-G20),"")</f>
        <v/>
      </c>
      <c r="O20" s="10" t="n">
        <v>45664.27792824074</v>
      </c>
      <c r="P20" s="11">
        <f>IF(AND(ISNUMBER(I20),ISNUMBER(O20)),(I20-O20),"")</f>
        <v/>
      </c>
      <c r="Q20" s="12" t="inlineStr">
        <is>
          <t>WG 1200602 (already coupled to WG 1200603 from the inbound train) entered track and got coupled to WG 1200103, OBTP started on 06:52:01 finished on 07:40:01 and then left at 07:41:23</t>
        </is>
      </c>
    </row>
    <row r="21">
      <c r="A21" s="3" t="inlineStr">
        <is>
          <t>1200603</t>
        </is>
      </c>
      <c r="B21" s="3" t="inlineStr">
        <is>
          <t>12006</t>
        </is>
      </c>
      <c r="C21" s="9" t="n">
        <v>48</v>
      </c>
      <c r="D21" s="3" t="inlineStr">
        <is>
          <t>Ljubljana</t>
        </is>
      </c>
      <c r="E21" s="10" t="n">
        <v>45664.25195601852</v>
      </c>
      <c r="F21" s="10" t="n">
        <v>45664.2593287037</v>
      </c>
      <c r="G21" s="10" t="n">
        <v>45664.26158564815</v>
      </c>
      <c r="H21" s="3" t="inlineStr">
        <is>
          <t>OBT070125064013-Ljubljana</t>
        </is>
      </c>
      <c r="I21" s="10" t="n">
        <v>45664.28612268518</v>
      </c>
      <c r="J21" s="10" t="n">
        <v>45664.31945601852</v>
      </c>
      <c r="K21" s="10" t="n">
        <v>45664.31945601852</v>
      </c>
      <c r="L21" s="10" t="n">
        <v>45664.32040509259</v>
      </c>
      <c r="M21" s="11">
        <f>IF(AND(ISNUMBER(E21),ISNUMBER(G21)),(G21-E21),"")</f>
        <v/>
      </c>
      <c r="N21" s="11">
        <f>IF(AND(ISNUMBER(G21),ISNUMBER(L21)),(L21-G21),"")</f>
        <v/>
      </c>
      <c r="O21" s="10" t="n">
        <v>45664.27792824074</v>
      </c>
      <c r="P21" s="11">
        <f>IF(AND(ISNUMBER(I21),ISNUMBER(O21)),(I21-O21),"")</f>
        <v/>
      </c>
      <c r="Q21" s="12" t="inlineStr">
        <is>
          <t>WG 1200603 (already coupled to WG 1200602 from the inbound train) entered track and got coupled to WG 1200103, OBTP started on 06:52:01 finished on 07:40:01 and then left at 07:41:23</t>
        </is>
      </c>
    </row>
    <row r="22">
      <c r="A22" s="3" t="inlineStr">
        <is>
          <t>1200701</t>
        </is>
      </c>
      <c r="B22" s="3" t="inlineStr">
        <is>
          <t>12007</t>
        </is>
      </c>
      <c r="C22" s="9" t="n">
        <v>48</v>
      </c>
      <c r="D22" s="3" t="inlineStr">
        <is>
          <t>Vienna</t>
        </is>
      </c>
      <c r="E22" s="10" t="n">
        <v>45664.26186342593</v>
      </c>
      <c r="F22" s="10" t="n">
        <v>45664.26762731482</v>
      </c>
      <c r="G22" s="10" t="n">
        <v>45664.2690162037</v>
      </c>
      <c r="H22" s="3" t="inlineStr">
        <is>
          <t>OBT070125064725-Vienna</t>
        </is>
      </c>
      <c r="I22" s="10" t="n">
        <v>45664.29607638889</v>
      </c>
      <c r="J22" s="10" t="n">
        <v>45664.31829861111</v>
      </c>
      <c r="K22" s="10" t="n">
        <v>45664.31829861111</v>
      </c>
      <c r="L22" s="10" t="n">
        <v>45664.3190625</v>
      </c>
      <c r="M22" s="11">
        <f>IF(AND(ISNUMBER(E22),ISNUMBER(G22)),(G22-E22),"")</f>
        <v/>
      </c>
      <c r="N22" s="11">
        <f>IF(AND(ISNUMBER(G22),ISNUMBER(L22)),(L22-G22),"")</f>
        <v/>
      </c>
      <c r="O22" s="10" t="n">
        <v>45664.28292824074</v>
      </c>
      <c r="P22" s="11">
        <f>IF(AND(ISNUMBER(I22),ISNUMBER(O22)),(I22-O22),"")</f>
        <v/>
      </c>
      <c r="Q22" s="12" t="inlineStr">
        <is>
          <t>WG 1200701 (already coupled to WG 1200702 from the inbound train) entered track and got secured, OBTP started on 07:06:21 finished on 07:38:21 and then left at 07:39:27</t>
        </is>
      </c>
    </row>
    <row r="23">
      <c r="A23" s="3" t="inlineStr">
        <is>
          <t>1200702</t>
        </is>
      </c>
      <c r="B23" s="3" t="inlineStr">
        <is>
          <t>12007</t>
        </is>
      </c>
      <c r="C23" s="9" t="n">
        <v>80</v>
      </c>
      <c r="D23" s="3" t="inlineStr">
        <is>
          <t>Vienna</t>
        </is>
      </c>
      <c r="E23" s="10" t="n">
        <v>45664.26186342593</v>
      </c>
      <c r="F23" s="10" t="n">
        <v>45664.26762731482</v>
      </c>
      <c r="G23" s="10" t="n">
        <v>45664.2690162037</v>
      </c>
      <c r="H23" s="3" t="inlineStr">
        <is>
          <t>OBT070125064725-Vienna</t>
        </is>
      </c>
      <c r="I23" s="10" t="n">
        <v>45664.29607638889</v>
      </c>
      <c r="J23" s="10" t="n">
        <v>45664.31829861111</v>
      </c>
      <c r="K23" s="10" t="n">
        <v>45664.31829861111</v>
      </c>
      <c r="L23" s="10" t="n">
        <v>45664.3190625</v>
      </c>
      <c r="M23" s="11">
        <f>IF(AND(ISNUMBER(E23),ISNUMBER(G23)),(G23-E23),"")</f>
        <v/>
      </c>
      <c r="N23" s="11">
        <f>IF(AND(ISNUMBER(G23),ISNUMBER(L23)),(L23-G23),"")</f>
        <v/>
      </c>
      <c r="O23" s="10" t="n">
        <v>45664.28292824074</v>
      </c>
      <c r="P23" s="11">
        <f>IF(AND(ISNUMBER(I23),ISNUMBER(O23)),(I23-O23),"")</f>
        <v/>
      </c>
      <c r="Q23" s="12" t="inlineStr">
        <is>
          <t>WG 1200702 (already coupled to WG 1200701 from the inbound train) entered track and got secured, OBTP started on 07:06:21 finished on 07:38:21 and then left at 07:39:27</t>
        </is>
      </c>
    </row>
    <row r="24">
      <c r="A24" s="3" t="inlineStr">
        <is>
          <t>1200801</t>
        </is>
      </c>
      <c r="B24" s="3" t="inlineStr">
        <is>
          <t>12008</t>
        </is>
      </c>
      <c r="C24" s="9" t="n">
        <v>80</v>
      </c>
      <c r="D24" s="3" t="inlineStr">
        <is>
          <t>Vienna</t>
        </is>
      </c>
      <c r="E24" s="10" t="n">
        <v>45664.26738425926</v>
      </c>
      <c r="F24" s="10" t="n">
        <v>45664.27443287037</v>
      </c>
      <c r="G24" s="10" t="n">
        <v>45664.27630787037</v>
      </c>
      <c r="H24" s="3" t="inlineStr">
        <is>
          <t>OBT070125065726-Vienna</t>
        </is>
      </c>
      <c r="I24" s="10" t="n">
        <v>45664.31993055555</v>
      </c>
      <c r="J24" s="10" t="n">
        <v>45664.34493055556</v>
      </c>
      <c r="K24" s="10" t="n">
        <v>45664.34493055556</v>
      </c>
      <c r="L24" s="10" t="n">
        <v>45664.34585648148</v>
      </c>
      <c r="M24" s="11">
        <f>IF(AND(ISNUMBER(E24),ISNUMBER(G24)),(G24-E24),"")</f>
        <v/>
      </c>
      <c r="N24" s="11">
        <f>IF(AND(ISNUMBER(G24),ISNUMBER(L24)),(L24-G24),"")</f>
        <v/>
      </c>
      <c r="O24" s="10" t="n">
        <v>45664.28447916666</v>
      </c>
      <c r="P24" s="11">
        <f>IF(AND(ISNUMBER(I24),ISNUMBER(O24)),(I24-O24),"")</f>
        <v/>
      </c>
      <c r="Q24" s="12" t="inlineStr">
        <is>
          <t>WG 1200801 entered track and got secured then waited 0:07:47 for WG 1200803 to get coupled, OBTP started on 07:40:42 finished on 08:16:42 and then left at 08:18:02</t>
        </is>
      </c>
    </row>
    <row r="25">
      <c r="A25" s="3" t="inlineStr">
        <is>
          <t>1200802</t>
        </is>
      </c>
      <c r="B25" s="3" t="inlineStr">
        <is>
          <t>12008</t>
        </is>
      </c>
      <c r="C25" s="9" t="n">
        <v>80</v>
      </c>
      <c r="D25" s="3" t="inlineStr">
        <is>
          <t>Graz</t>
        </is>
      </c>
      <c r="E25" s="10" t="n">
        <v>45664.26738425926</v>
      </c>
      <c r="F25" s="10" t="n">
        <v>45664.27630787037</v>
      </c>
      <c r="G25" s="10" t="n">
        <v>45664.27836805556</v>
      </c>
      <c r="H25" s="3" t="inlineStr">
        <is>
          <t>OBT070125070322-Graz</t>
        </is>
      </c>
      <c r="I25" s="10" t="n">
        <v>45664.32109953704</v>
      </c>
      <c r="J25" s="10" t="n">
        <v>45664.34054398148</v>
      </c>
      <c r="K25" s="10" t="n">
        <v>45664.34054398148</v>
      </c>
      <c r="L25" s="10" t="n">
        <v>45664.34119212963</v>
      </c>
      <c r="M25" s="11">
        <f>IF(AND(ISNUMBER(E25),ISNUMBER(G25)),(G25-E25),"")</f>
        <v/>
      </c>
      <c r="N25" s="11">
        <f>IF(AND(ISNUMBER(G25),ISNUMBER(L25)),(L25-G25),"")</f>
        <v/>
      </c>
      <c r="O25" s="10" t="n">
        <v>45664.28738425926</v>
      </c>
      <c r="P25" s="11">
        <f>IF(AND(ISNUMBER(I25),ISNUMBER(O25)),(I25-O25),"")</f>
        <v/>
      </c>
      <c r="Q25" s="12" t="inlineStr">
        <is>
          <t>WG 1200802 entered track and got secured then waited 0:09:32 for WG 1200901 to get coupled, OBTP started on 07:42:23 finished on 08:10:23 and then left at 08:11:19</t>
        </is>
      </c>
    </row>
    <row r="26">
      <c r="A26" s="3" t="inlineStr">
        <is>
          <t>1200803</t>
        </is>
      </c>
      <c r="B26" s="3" t="inlineStr">
        <is>
          <t>12008</t>
        </is>
      </c>
      <c r="C26" s="9" t="n">
        <v>64</v>
      </c>
      <c r="D26" s="3" t="inlineStr">
        <is>
          <t>Vienna</t>
        </is>
      </c>
      <c r="E26" s="10" t="n">
        <v>45664.26738425926</v>
      </c>
      <c r="F26" s="10" t="n">
        <v>45664.27836805556</v>
      </c>
      <c r="G26" s="10" t="n">
        <v>45664.28020833333</v>
      </c>
      <c r="H26" s="3" t="inlineStr">
        <is>
          <t>OBT070125065726-Vienna</t>
        </is>
      </c>
      <c r="I26" s="10" t="n">
        <v>45664.31993055555</v>
      </c>
      <c r="J26" s="10" t="n">
        <v>45664.34493055556</v>
      </c>
      <c r="K26" s="10" t="n">
        <v>45664.34493055556</v>
      </c>
      <c r="L26" s="10" t="n">
        <v>45664.34585648148</v>
      </c>
      <c r="M26" s="11">
        <f>IF(AND(ISNUMBER(E26),ISNUMBER(G26)),(G26-E26),"")</f>
        <v/>
      </c>
      <c r="N26" s="11">
        <f>IF(AND(ISNUMBER(G26),ISNUMBER(L26)),(L26-G26),"")</f>
        <v/>
      </c>
      <c r="O26" s="10" t="n">
        <v>45664.28988425926</v>
      </c>
      <c r="P26" s="11">
        <f>IF(AND(ISNUMBER(I26),ISNUMBER(O26)),(I26-O26),"")</f>
        <v/>
      </c>
      <c r="Q26" s="12" t="inlineStr">
        <is>
          <t>WG 1200803 entered track and got coupled to WG 1200801, OBTP started on 07:40:42 finished on 08:16:42 and then left at 08:18:02</t>
        </is>
      </c>
    </row>
    <row r="27">
      <c r="A27" s="3" t="inlineStr">
        <is>
          <t>1200901</t>
        </is>
      </c>
      <c r="B27" s="3" t="inlineStr">
        <is>
          <t>12009</t>
        </is>
      </c>
      <c r="C27" s="9" t="n">
        <v>32</v>
      </c>
      <c r="D27" s="3" t="inlineStr">
        <is>
          <t>Graz</t>
        </is>
      </c>
      <c r="E27" s="10" t="n">
        <v>45664.2771412037</v>
      </c>
      <c r="F27" s="10" t="n">
        <v>45664.28351851852</v>
      </c>
      <c r="G27" s="10" t="n">
        <v>45664.28543981481</v>
      </c>
      <c r="H27" s="3" t="inlineStr">
        <is>
          <t>OBT070125070322-Graz</t>
        </is>
      </c>
      <c r="I27" s="10" t="n">
        <v>45664.32109953704</v>
      </c>
      <c r="J27" s="10" t="n">
        <v>45664.34054398148</v>
      </c>
      <c r="K27" s="10" t="n">
        <v>45664.34054398148</v>
      </c>
      <c r="L27" s="10" t="n">
        <v>45664.34119212963</v>
      </c>
      <c r="M27" s="11">
        <f>IF(AND(ISNUMBER(E27),ISNUMBER(G27)),(G27-E27),"")</f>
        <v/>
      </c>
      <c r="N27" s="11">
        <f>IF(AND(ISNUMBER(G27),ISNUMBER(L27)),(L27-G27),"")</f>
        <v/>
      </c>
      <c r="O27" s="10" t="n">
        <v>45664.29400462963</v>
      </c>
      <c r="P27" s="11">
        <f>IF(AND(ISNUMBER(I27),ISNUMBER(O27)),(I27-O27),"")</f>
        <v/>
      </c>
      <c r="Q27" s="12" t="inlineStr">
        <is>
          <t>WG 1200901 entered track and got coupled to WG 1200802, OBTP started on 07:42:23 finished on 08:10:23 and then left at 08:11:19</t>
        </is>
      </c>
    </row>
    <row r="28">
      <c r="A28" s="3" t="inlineStr">
        <is>
          <t>1200902</t>
        </is>
      </c>
      <c r="B28" s="3" t="inlineStr">
        <is>
          <t>12009</t>
        </is>
      </c>
      <c r="C28" s="9" t="n">
        <v>32</v>
      </c>
      <c r="D28" s="3" t="inlineStr">
        <is>
          <t>Salzburg</t>
        </is>
      </c>
      <c r="E28" s="10" t="n">
        <v>45664.2771412037</v>
      </c>
      <c r="F28" s="10" t="n">
        <v>45664.28543981481</v>
      </c>
      <c r="G28" s="10" t="n">
        <v>45664.28719907408</v>
      </c>
      <c r="H28" s="3" t="inlineStr">
        <is>
          <t>OBT070125074604-Salzburg</t>
        </is>
      </c>
      <c r="I28" s="10" t="n">
        <v>45664.34228009259</v>
      </c>
      <c r="J28" s="10" t="n">
        <v>45664.36728009259</v>
      </c>
      <c r="K28" s="10" t="n">
        <v>45664.36728009259</v>
      </c>
      <c r="L28" s="10" t="n">
        <v>45664.36814814815</v>
      </c>
      <c r="M28" s="11">
        <f>IF(AND(ISNUMBER(E28),ISNUMBER(G28)),(G28-E28),"")</f>
        <v/>
      </c>
      <c r="N28" s="11">
        <f>IF(AND(ISNUMBER(G28),ISNUMBER(L28)),(L28-G28),"")</f>
        <v/>
      </c>
      <c r="O28" s="10" t="n">
        <v>45664.2944212963</v>
      </c>
      <c r="P28" s="11">
        <f>IF(AND(ISNUMBER(I28),ISNUMBER(O28)),(I28-O28),"")</f>
        <v/>
      </c>
      <c r="Q28" s="12" t="inlineStr">
        <is>
          <t>WG 1200902 entered track and got secured then waited 0:42:06 for cut 1201103+1201104 to get coupled, OBTP started on 08:12:53 finished on 08:48:53 and then left at 08:50:08</t>
        </is>
      </c>
    </row>
    <row r="29">
      <c r="A29" s="3" t="inlineStr">
        <is>
          <t>1200903</t>
        </is>
      </c>
      <c r="B29" s="3" t="inlineStr">
        <is>
          <t>12009</t>
        </is>
      </c>
      <c r="C29" s="9" t="n">
        <v>64</v>
      </c>
      <c r="D29" s="3" t="inlineStr">
        <is>
          <t>Graz</t>
        </is>
      </c>
      <c r="E29" s="10" t="n">
        <v>45664.2771412037</v>
      </c>
      <c r="F29" s="10" t="n">
        <v>45664.28719907408</v>
      </c>
      <c r="G29" s="10" t="n">
        <v>45664.28900462963</v>
      </c>
      <c r="H29" s="3" t="inlineStr">
        <is>
          <t>OBT070125073416-Graz</t>
        </is>
      </c>
      <c r="I29" s="10" t="n">
        <v>45664.32537037037</v>
      </c>
      <c r="J29" s="10" t="n">
        <v>45664.35037037037</v>
      </c>
      <c r="K29" s="10" t="n">
        <v>45664.35037037037</v>
      </c>
      <c r="L29" s="10" t="n">
        <v>45664.35121527778</v>
      </c>
      <c r="M29" s="11">
        <f>IF(AND(ISNUMBER(E29),ISNUMBER(G29)),(G29-E29),"")</f>
        <v/>
      </c>
      <c r="N29" s="11">
        <f>IF(AND(ISNUMBER(G29),ISNUMBER(L29)),(L29-G29),"")</f>
        <v/>
      </c>
      <c r="O29" s="10" t="n">
        <v>45664.30157407407</v>
      </c>
      <c r="P29" s="11">
        <f>IF(AND(ISNUMBER(I29),ISNUMBER(O29)),(I29-O29),"")</f>
        <v/>
      </c>
      <c r="Q29" s="12" t="inlineStr">
        <is>
          <t>WG 1200903 entered track and got secured then waited 0:20:00 for cut 1201101+1201102 to get coupled, OBTP started on 07:48:32 finished on 08:24:32 and then left at 08:25:45</t>
        </is>
      </c>
    </row>
    <row r="30">
      <c r="A30" s="3" t="inlineStr">
        <is>
          <t>1201001</t>
        </is>
      </c>
      <c r="B30" s="3" t="inlineStr">
        <is>
          <t>12010</t>
        </is>
      </c>
      <c r="C30" s="9" t="n">
        <v>32</v>
      </c>
      <c r="D30" s="3" t="inlineStr">
        <is>
          <t>Vienna</t>
        </is>
      </c>
      <c r="E30" s="10" t="n">
        <v>45664.28653935185</v>
      </c>
      <c r="F30" s="10" t="n">
        <v>45664.29178240741</v>
      </c>
      <c r="G30" s="10" t="n">
        <v>45664.29391203704</v>
      </c>
      <c r="H30" s="3" t="inlineStr">
        <is>
          <t>OBT070125170022-Vienna</t>
        </is>
      </c>
      <c r="I30" s="10" t="n">
        <v>45664.70945601852</v>
      </c>
      <c r="J30" s="10" t="n">
        <v>45664.74001157407</v>
      </c>
      <c r="K30" s="10" t="n">
        <v>45664.74001157407</v>
      </c>
      <c r="L30" s="10" t="n">
        <v>45664.74097222222</v>
      </c>
      <c r="M30" s="11">
        <f>IF(AND(ISNUMBER(E30),ISNUMBER(G30)),(G30-E30),"")</f>
        <v/>
      </c>
      <c r="N30" s="11">
        <f>IF(AND(ISNUMBER(G30),ISNUMBER(L30)),(L30-G30),"")</f>
        <v/>
      </c>
      <c r="O30" s="10" t="n">
        <v>45664.30484953704</v>
      </c>
      <c r="P30" s="11">
        <f>IF(AND(ISNUMBER(I30),ISNUMBER(O30)),(I30-O30),"")</f>
        <v/>
      </c>
      <c r="Q30" s="12" t="inlineStr">
        <is>
          <t>WG 1201001 (already coupled to WG 1201002, WG 1201003 from the inbound train) entered track and got secured then waited 9:41:23 for cut 1201301+1201302 to get coupled, OBTP started on 17:01:37 finished on 17:45:37 and then left at 17:47:00</t>
        </is>
      </c>
    </row>
    <row r="31">
      <c r="A31" s="3" t="inlineStr">
        <is>
          <t>1201002</t>
        </is>
      </c>
      <c r="B31" s="3" t="inlineStr">
        <is>
          <t>12010</t>
        </is>
      </c>
      <c r="C31" s="9" t="n">
        <v>32</v>
      </c>
      <c r="D31" s="3" t="inlineStr">
        <is>
          <t>Vienna</t>
        </is>
      </c>
      <c r="E31" s="10" t="n">
        <v>45664.28653935185</v>
      </c>
      <c r="F31" s="10" t="n">
        <v>45664.29178240741</v>
      </c>
      <c r="G31" s="10" t="n">
        <v>45664.29391203704</v>
      </c>
      <c r="H31" s="3" t="inlineStr">
        <is>
          <t>OBT070125170022-Vienna</t>
        </is>
      </c>
      <c r="I31" s="10" t="n">
        <v>45664.70945601852</v>
      </c>
      <c r="J31" s="10" t="n">
        <v>45664.74001157407</v>
      </c>
      <c r="K31" s="10" t="n">
        <v>45664.74001157407</v>
      </c>
      <c r="L31" s="10" t="n">
        <v>45664.74097222222</v>
      </c>
      <c r="M31" s="11">
        <f>IF(AND(ISNUMBER(E31),ISNUMBER(G31)),(G31-E31),"")</f>
        <v/>
      </c>
      <c r="N31" s="11">
        <f>IF(AND(ISNUMBER(G31),ISNUMBER(L31)),(L31-G31),"")</f>
        <v/>
      </c>
      <c r="O31" s="10" t="n">
        <v>45664.30484953704</v>
      </c>
      <c r="P31" s="11">
        <f>IF(AND(ISNUMBER(I31),ISNUMBER(O31)),(I31-O31),"")</f>
        <v/>
      </c>
      <c r="Q31" s="12" t="inlineStr">
        <is>
          <t>WG 1201002 (already coupled to WG 1201001, WG 1201003 from the inbound train) entered track and got secured then waited 9:41:23 for cut 1201301+1201302 to get coupled, OBTP started on 17:01:37 finished on 17:45:37 and then left at 17:47:00</t>
        </is>
      </c>
    </row>
    <row r="32">
      <c r="A32" s="3" t="inlineStr">
        <is>
          <t>1201003</t>
        </is>
      </c>
      <c r="B32" s="3" t="inlineStr">
        <is>
          <t>12010</t>
        </is>
      </c>
      <c r="C32" s="9" t="n">
        <v>32</v>
      </c>
      <c r="D32" s="3" t="inlineStr">
        <is>
          <t>Vienna</t>
        </is>
      </c>
      <c r="E32" s="10" t="n">
        <v>45664.28653935185</v>
      </c>
      <c r="F32" s="10" t="n">
        <v>45664.29178240741</v>
      </c>
      <c r="G32" s="10" t="n">
        <v>45664.29391203704</v>
      </c>
      <c r="H32" s="3" t="inlineStr">
        <is>
          <t>OBT070125170022-Vienna</t>
        </is>
      </c>
      <c r="I32" s="10" t="n">
        <v>45664.70945601852</v>
      </c>
      <c r="J32" s="10" t="n">
        <v>45664.74001157407</v>
      </c>
      <c r="K32" s="10" t="n">
        <v>45664.74001157407</v>
      </c>
      <c r="L32" s="10" t="n">
        <v>45664.74097222222</v>
      </c>
      <c r="M32" s="11">
        <f>IF(AND(ISNUMBER(E32),ISNUMBER(G32)),(G32-E32),"")</f>
        <v/>
      </c>
      <c r="N32" s="11">
        <f>IF(AND(ISNUMBER(G32),ISNUMBER(L32)),(L32-G32),"")</f>
        <v/>
      </c>
      <c r="O32" s="10" t="n">
        <v>45664.30484953704</v>
      </c>
      <c r="P32" s="11">
        <f>IF(AND(ISNUMBER(I32),ISNUMBER(O32)),(I32-O32),"")</f>
        <v/>
      </c>
      <c r="Q32" s="12" t="inlineStr">
        <is>
          <t>WG 1201003 (already coupled to WG 1201001, WG 1201002 from the inbound train) entered track and got secured then waited 9:41:23 for cut 1201301+1201302 to get coupled, OBTP started on 17:01:37 finished on 17:45:37 and then left at 17:47:00</t>
        </is>
      </c>
    </row>
    <row r="33">
      <c r="A33" s="3" t="inlineStr">
        <is>
          <t>1201101</t>
        </is>
      </c>
      <c r="B33" s="3" t="inlineStr">
        <is>
          <t>12011</t>
        </is>
      </c>
      <c r="C33" s="9" t="n">
        <v>48</v>
      </c>
      <c r="D33" s="3" t="inlineStr">
        <is>
          <t>Graz</t>
        </is>
      </c>
      <c r="E33" s="10" t="n">
        <v>45664.29395833334</v>
      </c>
      <c r="F33" s="10" t="n">
        <v>45664.29988425926</v>
      </c>
      <c r="G33" s="10" t="n">
        <v>45664.30172453704</v>
      </c>
      <c r="H33" s="3" t="inlineStr">
        <is>
          <t>OBT070125073416-Graz</t>
        </is>
      </c>
      <c r="I33" s="10" t="n">
        <v>45664.32537037037</v>
      </c>
      <c r="J33" s="10" t="n">
        <v>45664.35037037037</v>
      </c>
      <c r="K33" s="10" t="n">
        <v>45664.35037037037</v>
      </c>
      <c r="L33" s="10" t="n">
        <v>45664.35121527778</v>
      </c>
      <c r="M33" s="11">
        <f>IF(AND(ISNUMBER(E33),ISNUMBER(G33)),(G33-E33),"")</f>
        <v/>
      </c>
      <c r="N33" s="11">
        <f>IF(AND(ISNUMBER(G33),ISNUMBER(L33)),(L33-G33),"")</f>
        <v/>
      </c>
      <c r="O33" s="10" t="n">
        <v>45664.31546296296</v>
      </c>
      <c r="P33" s="11">
        <f>IF(AND(ISNUMBER(I33),ISNUMBER(O33)),(I33-O33),"")</f>
        <v/>
      </c>
      <c r="Q33" s="12" t="inlineStr">
        <is>
          <t>WG 1201101 (already coupled to WG 1201102 from the inbound train) entered track and got coupled to WG 1200903, OBTP started on 07:48:32 finished on 08:24:32 and then left at 08:25:45</t>
        </is>
      </c>
    </row>
    <row r="34">
      <c r="A34" s="3" t="inlineStr">
        <is>
          <t>1201102</t>
        </is>
      </c>
      <c r="B34" s="3" t="inlineStr">
        <is>
          <t>12011</t>
        </is>
      </c>
      <c r="C34" s="9" t="n">
        <v>32</v>
      </c>
      <c r="D34" s="3" t="inlineStr">
        <is>
          <t>Graz</t>
        </is>
      </c>
      <c r="E34" s="10" t="n">
        <v>45664.29395833334</v>
      </c>
      <c r="F34" s="10" t="n">
        <v>45664.29988425926</v>
      </c>
      <c r="G34" s="10" t="n">
        <v>45664.30172453704</v>
      </c>
      <c r="H34" s="3" t="inlineStr">
        <is>
          <t>OBT070125073416-Graz</t>
        </is>
      </c>
      <c r="I34" s="10" t="n">
        <v>45664.32537037037</v>
      </c>
      <c r="J34" s="10" t="n">
        <v>45664.35037037037</v>
      </c>
      <c r="K34" s="10" t="n">
        <v>45664.35037037037</v>
      </c>
      <c r="L34" s="10" t="n">
        <v>45664.35121527778</v>
      </c>
      <c r="M34" s="11">
        <f>IF(AND(ISNUMBER(E34),ISNUMBER(G34)),(G34-E34),"")</f>
        <v/>
      </c>
      <c r="N34" s="11">
        <f>IF(AND(ISNUMBER(G34),ISNUMBER(L34)),(L34-G34),"")</f>
        <v/>
      </c>
      <c r="O34" s="10" t="n">
        <v>45664.31546296296</v>
      </c>
      <c r="P34" s="11">
        <f>IF(AND(ISNUMBER(I34),ISNUMBER(O34)),(I34-O34),"")</f>
        <v/>
      </c>
      <c r="Q34" s="12" t="inlineStr">
        <is>
          <t>WG 1201102 (already coupled to WG 1201101 from the inbound train) entered track and got coupled to WG 1200903, OBTP started on 07:48:32 finished on 08:24:32 and then left at 08:25:45</t>
        </is>
      </c>
    </row>
    <row r="35">
      <c r="A35" s="3" t="inlineStr">
        <is>
          <t>1201103</t>
        </is>
      </c>
      <c r="B35" s="3" t="inlineStr">
        <is>
          <t>12011</t>
        </is>
      </c>
      <c r="C35" s="9" t="n">
        <v>64</v>
      </c>
      <c r="D35" s="3" t="inlineStr">
        <is>
          <t>Salzburg</t>
        </is>
      </c>
      <c r="E35" s="10" t="n">
        <v>45664.29395833334</v>
      </c>
      <c r="F35" s="10" t="n">
        <v>45664.30172453704</v>
      </c>
      <c r="G35" s="10" t="n">
        <v>45664.30368055555</v>
      </c>
      <c r="H35" s="3" t="inlineStr">
        <is>
          <t>OBT070125074604-Salzburg</t>
        </is>
      </c>
      <c r="I35" s="10" t="n">
        <v>45664.34228009259</v>
      </c>
      <c r="J35" s="10" t="n">
        <v>45664.36728009259</v>
      </c>
      <c r="K35" s="10" t="n">
        <v>45664.36728009259</v>
      </c>
      <c r="L35" s="10" t="n">
        <v>45664.36814814815</v>
      </c>
      <c r="M35" s="11">
        <f>IF(AND(ISNUMBER(E35),ISNUMBER(G35)),(G35-E35),"")</f>
        <v/>
      </c>
      <c r="N35" s="11">
        <f>IF(AND(ISNUMBER(G35),ISNUMBER(L35)),(L35-G35),"")</f>
        <v/>
      </c>
      <c r="O35" s="10" t="n">
        <v>45664.32365740741</v>
      </c>
      <c r="P35" s="11">
        <f>IF(AND(ISNUMBER(I35),ISNUMBER(O35)),(I35-O35),"")</f>
        <v/>
      </c>
      <c r="Q35" s="12" t="inlineStr">
        <is>
          <t>WG 1201103 (already coupled to WG 1201104 from the inbound train) entered track and got coupled to WG 1200902, OBTP started on 08:12:53 finished on 08:48:53 and then left at 08:50:08</t>
        </is>
      </c>
    </row>
    <row r="36">
      <c r="A36" s="3" t="inlineStr">
        <is>
          <t>1201104</t>
        </is>
      </c>
      <c r="B36" s="3" t="inlineStr">
        <is>
          <t>12011</t>
        </is>
      </c>
      <c r="C36" s="9" t="n">
        <v>48</v>
      </c>
      <c r="D36" s="3" t="inlineStr">
        <is>
          <t>Salzburg</t>
        </is>
      </c>
      <c r="E36" s="10" t="n">
        <v>45664.29395833334</v>
      </c>
      <c r="F36" s="10" t="n">
        <v>45664.30172453704</v>
      </c>
      <c r="G36" s="10" t="n">
        <v>45664.30368055555</v>
      </c>
      <c r="H36" s="3" t="inlineStr">
        <is>
          <t>OBT070125074604-Salzburg</t>
        </is>
      </c>
      <c r="I36" s="10" t="n">
        <v>45664.34228009259</v>
      </c>
      <c r="J36" s="10" t="n">
        <v>45664.36728009259</v>
      </c>
      <c r="K36" s="10" t="n">
        <v>45664.36728009259</v>
      </c>
      <c r="L36" s="10" t="n">
        <v>45664.36814814815</v>
      </c>
      <c r="M36" s="11">
        <f>IF(AND(ISNUMBER(E36),ISNUMBER(G36)),(G36-E36),"")</f>
        <v/>
      </c>
      <c r="N36" s="11">
        <f>IF(AND(ISNUMBER(G36),ISNUMBER(L36)),(L36-G36),"")</f>
        <v/>
      </c>
      <c r="O36" s="10" t="n">
        <v>45664.32365740741</v>
      </c>
      <c r="P36" s="11">
        <f>IF(AND(ISNUMBER(I36),ISNUMBER(O36)),(I36-O36),"")</f>
        <v/>
      </c>
      <c r="Q36" s="12" t="inlineStr">
        <is>
          <t>WG 1201104 (already coupled to WG 1201103 from the inbound train) entered track and got coupled to WG 1200902, OBTP started on 08:12:53 finished on 08:48:53 and then left at 08:50:08</t>
        </is>
      </c>
    </row>
    <row r="37">
      <c r="A37" s="3" t="inlineStr">
        <is>
          <t>1201201</t>
        </is>
      </c>
      <c r="B37" s="3" t="inlineStr">
        <is>
          <t>12012</t>
        </is>
      </c>
      <c r="C37" s="9" t="n">
        <v>32</v>
      </c>
      <c r="D37" s="3" t="inlineStr">
        <is>
          <t>Linz</t>
        </is>
      </c>
      <c r="E37" s="10" t="n">
        <v>45664.54355324074</v>
      </c>
      <c r="F37" s="10" t="n">
        <v>45664.54918981482</v>
      </c>
      <c r="G37" s="10" t="n">
        <v>45664.55061342593</v>
      </c>
      <c r="H37" s="3" t="inlineStr">
        <is>
          <t>OBT070125133255-Linz</t>
        </is>
      </c>
      <c r="I37" s="10" t="n">
        <v>45664.56537037037</v>
      </c>
      <c r="J37" s="10" t="n">
        <v>45664.58759259259</v>
      </c>
      <c r="K37" s="10" t="n">
        <v>45664.58759259259</v>
      </c>
      <c r="L37" s="10" t="n">
        <v>45664.58835648148</v>
      </c>
      <c r="M37" s="11">
        <f>IF(AND(ISNUMBER(E37),ISNUMBER(G37)),(G37-E37),"")</f>
        <v/>
      </c>
      <c r="N37" s="11">
        <f>IF(AND(ISNUMBER(G37),ISNUMBER(L37)),(L37-G37),"")</f>
        <v/>
      </c>
      <c r="O37" s="10" t="n">
        <v>45664.56452546296</v>
      </c>
      <c r="P37" s="11">
        <f>IF(AND(ISNUMBER(I37),ISNUMBER(O37)),(I37-O37),"")</f>
        <v/>
      </c>
      <c r="Q37" s="12" t="inlineStr">
        <is>
          <t>WG 1201201 (already coupled to WG 1201202, WG 1201203 from the inbound train) entered track and got secured, OBTP started on 13:34:08 finished on 14:06:08 and then left at 14:07:14</t>
        </is>
      </c>
    </row>
    <row r="38">
      <c r="A38" s="3" t="inlineStr">
        <is>
          <t>1201202</t>
        </is>
      </c>
      <c r="B38" s="3" t="inlineStr">
        <is>
          <t>12012</t>
        </is>
      </c>
      <c r="C38" s="9" t="n">
        <v>48</v>
      </c>
      <c r="D38" s="3" t="inlineStr">
        <is>
          <t>Linz</t>
        </is>
      </c>
      <c r="E38" s="10" t="n">
        <v>45664.54355324074</v>
      </c>
      <c r="F38" s="10" t="n">
        <v>45664.54918981482</v>
      </c>
      <c r="G38" s="10" t="n">
        <v>45664.55061342593</v>
      </c>
      <c r="H38" s="3" t="inlineStr">
        <is>
          <t>OBT070125133255-Linz</t>
        </is>
      </c>
      <c r="I38" s="10" t="n">
        <v>45664.56537037037</v>
      </c>
      <c r="J38" s="10" t="n">
        <v>45664.58759259259</v>
      </c>
      <c r="K38" s="10" t="n">
        <v>45664.58759259259</v>
      </c>
      <c r="L38" s="10" t="n">
        <v>45664.58835648148</v>
      </c>
      <c r="M38" s="11">
        <f>IF(AND(ISNUMBER(E38),ISNUMBER(G38)),(G38-E38),"")</f>
        <v/>
      </c>
      <c r="N38" s="11">
        <f>IF(AND(ISNUMBER(G38),ISNUMBER(L38)),(L38-G38),"")</f>
        <v/>
      </c>
      <c r="O38" s="10" t="n">
        <v>45664.56452546296</v>
      </c>
      <c r="P38" s="11">
        <f>IF(AND(ISNUMBER(I38),ISNUMBER(O38)),(I38-O38),"")</f>
        <v/>
      </c>
      <c r="Q38" s="12" t="inlineStr">
        <is>
          <t>WG 1201202 (already coupled to WG 1201201, WG 1201203 from the inbound train) entered track and got secured, OBTP started on 13:34:08 finished on 14:06:08 and then left at 14:07:14</t>
        </is>
      </c>
    </row>
    <row r="39">
      <c r="A39" s="3" t="inlineStr">
        <is>
          <t>1201203</t>
        </is>
      </c>
      <c r="B39" s="3" t="inlineStr">
        <is>
          <t>12012</t>
        </is>
      </c>
      <c r="C39" s="9" t="n">
        <v>48</v>
      </c>
      <c r="D39" s="3" t="inlineStr">
        <is>
          <t>Linz</t>
        </is>
      </c>
      <c r="E39" s="10" t="n">
        <v>45664.54355324074</v>
      </c>
      <c r="F39" s="10" t="n">
        <v>45664.54918981482</v>
      </c>
      <c r="G39" s="10" t="n">
        <v>45664.55061342593</v>
      </c>
      <c r="H39" s="3" t="inlineStr">
        <is>
          <t>OBT070125133255-Linz</t>
        </is>
      </c>
      <c r="I39" s="10" t="n">
        <v>45664.56537037037</v>
      </c>
      <c r="J39" s="10" t="n">
        <v>45664.58759259259</v>
      </c>
      <c r="K39" s="10" t="n">
        <v>45664.58759259259</v>
      </c>
      <c r="L39" s="10" t="n">
        <v>45664.58835648148</v>
      </c>
      <c r="M39" s="11">
        <f>IF(AND(ISNUMBER(E39),ISNUMBER(G39)),(G39-E39),"")</f>
        <v/>
      </c>
      <c r="N39" s="11">
        <f>IF(AND(ISNUMBER(G39),ISNUMBER(L39)),(L39-G39),"")</f>
        <v/>
      </c>
      <c r="O39" s="10" t="n">
        <v>45664.56452546296</v>
      </c>
      <c r="P39" s="11">
        <f>IF(AND(ISNUMBER(I39),ISNUMBER(O39)),(I39-O39),"")</f>
        <v/>
      </c>
      <c r="Q39" s="12" t="inlineStr">
        <is>
          <t>WG 1201203 (already coupled to WG 1201201, WG 1201202 from the inbound train) entered track and got secured, OBTP started on 13:34:08 finished on 14:06:08 and then left at 14:07:14</t>
        </is>
      </c>
    </row>
    <row r="40">
      <c r="A40" s="3" t="inlineStr">
        <is>
          <t>1201301</t>
        </is>
      </c>
      <c r="B40" s="3" t="inlineStr">
        <is>
          <t>12013</t>
        </is>
      </c>
      <c r="C40" s="9" t="n">
        <v>32</v>
      </c>
      <c r="D40" s="3" t="inlineStr">
        <is>
          <t>Vienna</t>
        </is>
      </c>
      <c r="E40" s="10" t="n">
        <v>45664.68927083333</v>
      </c>
      <c r="F40" s="10" t="n">
        <v>45664.69460648148</v>
      </c>
      <c r="G40" s="10" t="n">
        <v>45664.69671296296</v>
      </c>
      <c r="H40" s="3" t="inlineStr">
        <is>
          <t>OBT070125170022-Vienna</t>
        </is>
      </c>
      <c r="I40" s="10" t="n">
        <v>45664.70945601852</v>
      </c>
      <c r="J40" s="10" t="n">
        <v>45664.74001157407</v>
      </c>
      <c r="K40" s="10" t="n">
        <v>45664.74001157407</v>
      </c>
      <c r="L40" s="10" t="n">
        <v>45664.74097222222</v>
      </c>
      <c r="M40" s="11">
        <f>IF(AND(ISNUMBER(E40),ISNUMBER(G40)),(G40-E40),"")</f>
        <v/>
      </c>
      <c r="N40" s="11">
        <f>IF(AND(ISNUMBER(G40),ISNUMBER(L40)),(L40-G40),"")</f>
        <v/>
      </c>
      <c r="O40" s="10" t="n">
        <v>45664.70858796296</v>
      </c>
      <c r="P40" s="11">
        <f>IF(AND(ISNUMBER(I40),ISNUMBER(O40)),(I40-O40),"")</f>
        <v/>
      </c>
      <c r="Q40" s="12" t="inlineStr">
        <is>
          <t>WG 1201301 (already coupled to WG 1201302 from the inbound train) entered track and got coupled to cut 1201001+1201002+1201003, OBTP started on 17:01:37 finished on 17:45:37 and then left at 17:47:00</t>
        </is>
      </c>
    </row>
    <row r="41">
      <c r="A41" s="3" t="inlineStr">
        <is>
          <t>1201302</t>
        </is>
      </c>
      <c r="B41" s="3" t="inlineStr">
        <is>
          <t>12013</t>
        </is>
      </c>
      <c r="C41" s="9" t="n">
        <v>48</v>
      </c>
      <c r="D41" s="3" t="inlineStr">
        <is>
          <t>Vienna</t>
        </is>
      </c>
      <c r="E41" s="10" t="n">
        <v>45664.68927083333</v>
      </c>
      <c r="F41" s="10" t="n">
        <v>45664.69460648148</v>
      </c>
      <c r="G41" s="10" t="n">
        <v>45664.69671296296</v>
      </c>
      <c r="H41" s="3" t="inlineStr">
        <is>
          <t>OBT070125170022-Vienna</t>
        </is>
      </c>
      <c r="I41" s="10" t="n">
        <v>45664.70945601852</v>
      </c>
      <c r="J41" s="10" t="n">
        <v>45664.74001157407</v>
      </c>
      <c r="K41" s="10" t="n">
        <v>45664.74001157407</v>
      </c>
      <c r="L41" s="10" t="n">
        <v>45664.74097222222</v>
      </c>
      <c r="M41" s="11">
        <f>IF(AND(ISNUMBER(E41),ISNUMBER(G41)),(G41-E41),"")</f>
        <v/>
      </c>
      <c r="N41" s="11">
        <f>IF(AND(ISNUMBER(G41),ISNUMBER(L41)),(L41-G41),"")</f>
        <v/>
      </c>
      <c r="O41" s="10" t="n">
        <v>45664.70858796296</v>
      </c>
      <c r="P41" s="11">
        <f>IF(AND(ISNUMBER(I41),ISNUMBER(O41)),(I41-O41),"")</f>
        <v/>
      </c>
      <c r="Q41" s="12" t="inlineStr">
        <is>
          <t>WG 1201302 (already coupled to WG 1201301 from the inbound train) entered track and got coupled to cut 1201001+1201002+1201003, OBTP started on 17:01:37 finished on 17:45:37 and then left at 17:47:00</t>
        </is>
      </c>
    </row>
    <row r="42">
      <c r="A42" s="3" t="inlineStr">
        <is>
          <t>1201401</t>
        </is>
      </c>
      <c r="B42" s="3" t="inlineStr">
        <is>
          <t>12014</t>
        </is>
      </c>
      <c r="C42" s="9" t="n">
        <v>32</v>
      </c>
      <c r="D42" s="3" t="inlineStr">
        <is>
          <t>Salzburg</t>
        </is>
      </c>
      <c r="E42" s="10" t="n">
        <v>45664.83469907408</v>
      </c>
      <c r="F42" s="10" t="n">
        <v>45664.83984953703</v>
      </c>
      <c r="G42" s="10" t="n">
        <v>45664.84140046296</v>
      </c>
      <c r="H42" s="3" t="inlineStr">
        <is>
          <t>OBT080125061853-Salzburg</t>
        </is>
      </c>
      <c r="I42" s="10" t="n">
        <v>45665.26398148148</v>
      </c>
      <c r="J42" s="10" t="n">
        <v>45665.2862037037</v>
      </c>
      <c r="K42" s="10" t="n">
        <v>45665.2862037037</v>
      </c>
      <c r="L42" s="10" t="n">
        <v>45665.28695601852</v>
      </c>
      <c r="M42" s="11">
        <f>IF(AND(ISNUMBER(E42),ISNUMBER(G42)),(G42-E42),"")</f>
        <v/>
      </c>
      <c r="N42" s="11">
        <f>IF(AND(ISNUMBER(G42),ISNUMBER(L42)),(L42-G42),"")</f>
        <v/>
      </c>
      <c r="O42" s="10" t="n">
        <v>45664.84553240741</v>
      </c>
      <c r="P42" s="11">
        <f>IF(AND(ISNUMBER(I42),ISNUMBER(O42)),(I42-O42),"")</f>
        <v/>
      </c>
      <c r="Q42" s="12" t="inlineStr">
        <is>
          <t>WG 1201401 entered track and got secured then waited 10:01:19 for cut 1201502+1201503 to get coupled, OBTP started on 06:20:08 finished on 06:52:08 and then left at 06:53:13</t>
        </is>
      </c>
    </row>
    <row r="43">
      <c r="A43" s="3" t="inlineStr">
        <is>
          <t>1201402</t>
        </is>
      </c>
      <c r="B43" s="3" t="inlineStr">
        <is>
          <t>12014</t>
        </is>
      </c>
      <c r="C43" s="9" t="n">
        <v>32</v>
      </c>
      <c r="D43" s="3" t="inlineStr">
        <is>
          <t>Vienna</t>
        </is>
      </c>
      <c r="E43" s="10" t="n">
        <v>45664.83469907408</v>
      </c>
      <c r="F43" s="10" t="n">
        <v>45664.84140046296</v>
      </c>
      <c r="G43" s="10" t="n">
        <v>45664.84306712963</v>
      </c>
      <c r="H43" s="3" t="inlineStr">
        <is>
          <t>OBT080125061351-Vienna</t>
        </is>
      </c>
      <c r="I43" s="10" t="n">
        <v>45665.26048611111</v>
      </c>
      <c r="J43" s="10" t="n">
        <v>45665.28270833333</v>
      </c>
      <c r="K43" s="10" t="n">
        <v>45665.28270833333</v>
      </c>
      <c r="L43" s="10" t="n">
        <v>45665.2834375</v>
      </c>
      <c r="M43" s="11">
        <f>IF(AND(ISNUMBER(E43),ISNUMBER(G43)),(G43-E43),"")</f>
        <v/>
      </c>
      <c r="N43" s="11">
        <f>IF(AND(ISNUMBER(G43),ISNUMBER(L43)),(L43-G43),"")</f>
        <v/>
      </c>
      <c r="O43" s="10" t="n">
        <v>45664.84719907407</v>
      </c>
      <c r="P43" s="11">
        <f>IF(AND(ISNUMBER(I43),ISNUMBER(O43)),(I43-O43),"")</f>
        <v/>
      </c>
      <c r="Q43" s="12" t="inlineStr">
        <is>
          <t>WG 1201402 entered track and got secured then waited 9:42:09 for WG 1201501 to get coupled then waited 0:11:44 for WG 1201504 to get coupled, OBTP started on 06:15:06 finished on 06:47:06 and then left at 06:48:09</t>
        </is>
      </c>
    </row>
    <row r="44">
      <c r="A44" s="3" t="inlineStr">
        <is>
          <t>1201501</t>
        </is>
      </c>
      <c r="B44" s="3" t="inlineStr">
        <is>
          <t>12015</t>
        </is>
      </c>
      <c r="C44" s="9" t="n">
        <v>32</v>
      </c>
      <c r="D44" s="3" t="inlineStr">
        <is>
          <t>Vienna</t>
        </is>
      </c>
      <c r="E44" s="10" t="n">
        <v>45665.2312037037</v>
      </c>
      <c r="F44" s="10" t="n">
        <v>45665.24494212963</v>
      </c>
      <c r="G44" s="10" t="n">
        <v>45665.24626157407</v>
      </c>
      <c r="H44" s="3" t="inlineStr">
        <is>
          <t>OBT080125061351-Vienna</t>
        </is>
      </c>
      <c r="I44" s="10" t="n">
        <v>45665.26048611111</v>
      </c>
      <c r="J44" s="10" t="n">
        <v>45665.28270833333</v>
      </c>
      <c r="K44" s="10" t="n">
        <v>45665.28270833333</v>
      </c>
      <c r="L44" s="10" t="n">
        <v>45665.2834375</v>
      </c>
      <c r="M44" s="11">
        <f>IF(AND(ISNUMBER(E44),ISNUMBER(G44)),(G44-E44),"")</f>
        <v/>
      </c>
      <c r="N44" s="11">
        <f>IF(AND(ISNUMBER(G44),ISNUMBER(L44)),(L44-G44),"")</f>
        <v/>
      </c>
      <c r="O44" s="10" t="n">
        <v>45665.25146990741</v>
      </c>
      <c r="P44" s="11">
        <f>IF(AND(ISNUMBER(I44),ISNUMBER(O44)),(I44-O44),"")</f>
        <v/>
      </c>
      <c r="Q44" s="12" t="inlineStr">
        <is>
          <t>WG 1201501 entered track and got coupled to WG 1201402 then waited 0:11:44 for WG 1201504 to get coupled, OBTP started on 06:15:06 finished on 06:47:06 and then left at 06:48:09</t>
        </is>
      </c>
    </row>
    <row r="45">
      <c r="A45" s="3" t="inlineStr">
        <is>
          <t>1201502</t>
        </is>
      </c>
      <c r="B45" s="3" t="inlineStr">
        <is>
          <t>12015</t>
        </is>
      </c>
      <c r="C45" s="9" t="n">
        <v>64</v>
      </c>
      <c r="D45" s="3" t="inlineStr">
        <is>
          <t>Salzburg</t>
        </is>
      </c>
      <c r="E45" s="10" t="n">
        <v>45665.2312037037</v>
      </c>
      <c r="F45" s="10" t="n">
        <v>45665.24626157407</v>
      </c>
      <c r="G45" s="10" t="n">
        <v>45665.24760416667</v>
      </c>
      <c r="H45" s="3" t="inlineStr">
        <is>
          <t>OBT080125061853-Salzburg</t>
        </is>
      </c>
      <c r="I45" s="10" t="n">
        <v>45665.26398148148</v>
      </c>
      <c r="J45" s="10" t="n">
        <v>45665.2862037037</v>
      </c>
      <c r="K45" s="10" t="n">
        <v>45665.2862037037</v>
      </c>
      <c r="L45" s="10" t="n">
        <v>45665.28695601852</v>
      </c>
      <c r="M45" s="11">
        <f>IF(AND(ISNUMBER(E45),ISNUMBER(G45)),(G45-E45),"")</f>
        <v/>
      </c>
      <c r="N45" s="11">
        <f>IF(AND(ISNUMBER(G45),ISNUMBER(L45)),(L45-G45),"")</f>
        <v/>
      </c>
      <c r="O45" s="10" t="n">
        <v>45665.26311342593</v>
      </c>
      <c r="P45" s="11">
        <f>IF(AND(ISNUMBER(I45),ISNUMBER(O45)),(I45-O45),"")</f>
        <v/>
      </c>
      <c r="Q45" s="12" t="inlineStr">
        <is>
          <t>WG 1201502 (already coupled to WG 1201503 from the inbound train) entered track and got coupled to WG 1201401, OBTP started on 06:20:08 finished on 06:52:08 and then left at 06:53:13</t>
        </is>
      </c>
    </row>
    <row r="46">
      <c r="A46" s="3" t="inlineStr">
        <is>
          <t>1201503</t>
        </is>
      </c>
      <c r="B46" s="3" t="inlineStr">
        <is>
          <t>12015</t>
        </is>
      </c>
      <c r="C46" s="9" t="n">
        <v>32</v>
      </c>
      <c r="D46" s="3" t="inlineStr">
        <is>
          <t>Salzburg</t>
        </is>
      </c>
      <c r="E46" s="10" t="n">
        <v>45665.2312037037</v>
      </c>
      <c r="F46" s="10" t="n">
        <v>45665.24626157407</v>
      </c>
      <c r="G46" s="10" t="n">
        <v>45665.24760416667</v>
      </c>
      <c r="H46" s="3" t="inlineStr">
        <is>
          <t>OBT080125061853-Salzburg</t>
        </is>
      </c>
      <c r="I46" s="10" t="n">
        <v>45665.26398148148</v>
      </c>
      <c r="J46" s="10" t="n">
        <v>45665.2862037037</v>
      </c>
      <c r="K46" s="10" t="n">
        <v>45665.2862037037</v>
      </c>
      <c r="L46" s="10" t="n">
        <v>45665.28695601852</v>
      </c>
      <c r="M46" s="11">
        <f>IF(AND(ISNUMBER(E46),ISNUMBER(G46)),(G46-E46),"")</f>
        <v/>
      </c>
      <c r="N46" s="11">
        <f>IF(AND(ISNUMBER(G46),ISNUMBER(L46)),(L46-G46),"")</f>
        <v/>
      </c>
      <c r="O46" s="10" t="n">
        <v>45665.26311342593</v>
      </c>
      <c r="P46" s="11">
        <f>IF(AND(ISNUMBER(I46),ISNUMBER(O46)),(I46-O46),"")</f>
        <v/>
      </c>
      <c r="Q46" s="12" t="inlineStr">
        <is>
          <t>WG 1201503 (already coupled to WG 1201502 from the inbound train) entered track and got coupled to WG 1201401, OBTP started on 06:20:08 finished on 06:52:08 and then left at 06:53:13</t>
        </is>
      </c>
    </row>
    <row r="47">
      <c r="A47" s="3" t="inlineStr">
        <is>
          <t>1201504</t>
        </is>
      </c>
      <c r="B47" s="3" t="inlineStr">
        <is>
          <t>12015</t>
        </is>
      </c>
      <c r="C47" s="9" t="n">
        <v>64</v>
      </c>
      <c r="D47" s="3" t="inlineStr">
        <is>
          <t>Vienna</t>
        </is>
      </c>
      <c r="E47" s="10" t="n">
        <v>45665.2312037037</v>
      </c>
      <c r="F47" s="10" t="n">
        <v>45665.24760416667</v>
      </c>
      <c r="G47" s="10" t="n">
        <v>45665.24899305555</v>
      </c>
      <c r="H47" s="3" t="inlineStr">
        <is>
          <t>OBT080125061351-Vienna</t>
        </is>
      </c>
      <c r="I47" s="10" t="n">
        <v>45665.26048611111</v>
      </c>
      <c r="J47" s="10" t="n">
        <v>45665.28270833333</v>
      </c>
      <c r="K47" s="10" t="n">
        <v>45665.28270833333</v>
      </c>
      <c r="L47" s="10" t="n">
        <v>45665.2834375</v>
      </c>
      <c r="M47" s="11">
        <f>IF(AND(ISNUMBER(E47),ISNUMBER(G47)),(G47-E47),"")</f>
        <v/>
      </c>
      <c r="N47" s="11">
        <f>IF(AND(ISNUMBER(G47),ISNUMBER(L47)),(L47-G47),"")</f>
        <v/>
      </c>
      <c r="O47" s="10" t="n">
        <v>45665.25961805556</v>
      </c>
      <c r="P47" s="11">
        <f>IF(AND(ISNUMBER(I47),ISNUMBER(O47)),(I47-O47),"")</f>
        <v/>
      </c>
      <c r="Q47" s="12" t="inlineStr">
        <is>
          <t>WG 1201504 entered track and got coupled to WG 1201501, OBTP started on 06:15:06 finished on 06:47:06 and then left at 06:48:09</t>
        </is>
      </c>
    </row>
    <row r="48">
      <c r="A48" s="3" t="inlineStr">
        <is>
          <t>1201601</t>
        </is>
      </c>
      <c r="B48" s="3" t="inlineStr">
        <is>
          <t>12016</t>
        </is>
      </c>
      <c r="C48" s="9" t="n">
        <v>32</v>
      </c>
      <c r="D48" s="3" t="inlineStr">
        <is>
          <t>Graz</t>
        </is>
      </c>
      <c r="E48" s="10" t="n">
        <v>45665.23054398148</v>
      </c>
      <c r="F48" s="10" t="n">
        <v>45665.24219907408</v>
      </c>
      <c r="G48" s="10" t="n">
        <v>45665.24407407407</v>
      </c>
      <c r="H48" s="3" t="inlineStr">
        <is>
          <t>OBT080125095423-Graz</t>
        </is>
      </c>
      <c r="I48" s="10" t="n">
        <v>45665.41447916667</v>
      </c>
      <c r="J48" s="10" t="n">
        <v>45665.45614583333</v>
      </c>
      <c r="K48" s="10" t="n">
        <v>45665.45614583333</v>
      </c>
      <c r="L48" s="10" t="n">
        <v>45665.45729166667</v>
      </c>
      <c r="M48" s="11">
        <f>IF(AND(ISNUMBER(E48),ISNUMBER(G48)),(G48-E48),"")</f>
        <v/>
      </c>
      <c r="N48" s="11">
        <f>IF(AND(ISNUMBER(G48),ISNUMBER(L48)),(L48-G48),"")</f>
        <v/>
      </c>
      <c r="O48" s="10" t="n">
        <v>45665.25472222222</v>
      </c>
      <c r="P48" s="11">
        <f>IF(AND(ISNUMBER(I48),ISNUMBER(O48)),(I48-O48),"")</f>
        <v/>
      </c>
      <c r="Q48" s="12" t="inlineStr">
        <is>
          <t>WG 1201601 (already coupled to WG 1201602 from the inbound train) entered track and got secured then waited 3:47:35 for cut 1201901+1201902+1201903 to get coupled, OBTP started on 09:56:51 finished on 10:56:51 and then left at 10:58:30</t>
        </is>
      </c>
    </row>
    <row r="49">
      <c r="A49" s="3" t="inlineStr">
        <is>
          <t>1201602</t>
        </is>
      </c>
      <c r="B49" s="3" t="inlineStr">
        <is>
          <t>12016</t>
        </is>
      </c>
      <c r="C49" s="9" t="n">
        <v>64</v>
      </c>
      <c r="D49" s="3" t="inlineStr">
        <is>
          <t>Graz</t>
        </is>
      </c>
      <c r="E49" s="10" t="n">
        <v>45665.23054398148</v>
      </c>
      <c r="F49" s="10" t="n">
        <v>45665.24219907408</v>
      </c>
      <c r="G49" s="10" t="n">
        <v>45665.24407407407</v>
      </c>
      <c r="H49" s="3" t="inlineStr">
        <is>
          <t>OBT080125095423-Graz</t>
        </is>
      </c>
      <c r="I49" s="10" t="n">
        <v>45665.41447916667</v>
      </c>
      <c r="J49" s="10" t="n">
        <v>45665.45614583333</v>
      </c>
      <c r="K49" s="10" t="n">
        <v>45665.45614583333</v>
      </c>
      <c r="L49" s="10" t="n">
        <v>45665.45729166667</v>
      </c>
      <c r="M49" s="11">
        <f>IF(AND(ISNUMBER(E49),ISNUMBER(G49)),(G49-E49),"")</f>
        <v/>
      </c>
      <c r="N49" s="11">
        <f>IF(AND(ISNUMBER(G49),ISNUMBER(L49)),(L49-G49),"")</f>
        <v/>
      </c>
      <c r="O49" s="10" t="n">
        <v>45665.25472222222</v>
      </c>
      <c r="P49" s="11">
        <f>IF(AND(ISNUMBER(I49),ISNUMBER(O49)),(I49-O49),"")</f>
        <v/>
      </c>
      <c r="Q49" s="12" t="inlineStr">
        <is>
          <t>WG 1201602 (already coupled to WG 1201601 from the inbound train) entered track and got secured then waited 3:47:35 for cut 1201901+1201902+1201903 to get coupled, OBTP started on 09:56:51 finished on 10:56:51 and then left at 10:58:30</t>
        </is>
      </c>
    </row>
    <row r="50">
      <c r="A50" s="3" t="inlineStr">
        <is>
          <t>1201701</t>
        </is>
      </c>
      <c r="B50" s="3" t="inlineStr">
        <is>
          <t>12017</t>
        </is>
      </c>
      <c r="C50" s="9" t="n">
        <v>32</v>
      </c>
      <c r="D50" s="3" t="inlineStr">
        <is>
          <t>Klagenfurt</t>
        </is>
      </c>
      <c r="E50" s="10" t="n">
        <v>45665.2305324074</v>
      </c>
      <c r="F50" s="10" t="n">
        <v>45665.23659722223</v>
      </c>
      <c r="G50" s="10" t="n">
        <v>45665.23891203704</v>
      </c>
      <c r="H50" s="3" t="inlineStr">
        <is>
          <t>OBT100125080623-Klagenfurt</t>
        </is>
      </c>
      <c r="I50" s="10" t="n">
        <v>45667.33863425926</v>
      </c>
      <c r="J50" s="10" t="n">
        <v>45667.36085648148</v>
      </c>
      <c r="K50" s="10" t="n">
        <v>45667.36085648148</v>
      </c>
      <c r="L50" s="10" t="n">
        <v>45667.36155092593</v>
      </c>
      <c r="M50" s="11">
        <f>IF(AND(ISNUMBER(E50),ISNUMBER(G50)),(G50-E50),"")</f>
        <v/>
      </c>
      <c r="N50" s="11">
        <f>IF(AND(ISNUMBER(G50),ISNUMBER(L50)),(L50-G50),"")</f>
        <v/>
      </c>
      <c r="O50" s="10" t="n">
        <v>45665.24303240741</v>
      </c>
      <c r="P50" s="11">
        <f>IF(AND(ISNUMBER(I50),ISNUMBER(O50)),(I50-O50),"")</f>
        <v/>
      </c>
      <c r="Q50" s="12" t="inlineStr">
        <is>
          <t>WG 1201701 entered track and got secured then waited 24:01:17 for WG 1202803 to get coupled then waited 26:15:08 for WG 1204503 to get coupled, OBTP started on 08:07:38 finished on 08:39:38 and then left at 08:40:38</t>
        </is>
      </c>
    </row>
    <row r="51">
      <c r="A51" s="3" t="inlineStr">
        <is>
          <t>1201702</t>
        </is>
      </c>
      <c r="B51" s="3" t="inlineStr">
        <is>
          <t>12017</t>
        </is>
      </c>
      <c r="C51" s="9" t="n">
        <v>32</v>
      </c>
      <c r="D51" s="3" t="inlineStr">
        <is>
          <t>Budapest</t>
        </is>
      </c>
      <c r="E51" s="10" t="n">
        <v>45665.2305324074</v>
      </c>
      <c r="F51" s="10" t="n">
        <v>45665.23891203704</v>
      </c>
      <c r="G51" s="10" t="n">
        <v>45665.24133101852</v>
      </c>
      <c r="H51" s="3" t="inlineStr">
        <is>
          <t>OBT080125094940-Budapest</t>
        </is>
      </c>
      <c r="I51" s="10" t="n">
        <v>45665.4103587963</v>
      </c>
      <c r="J51" s="10" t="n">
        <v>45665.44091435185</v>
      </c>
      <c r="K51" s="10" t="n">
        <v>45665.44091435185</v>
      </c>
      <c r="L51" s="10" t="n">
        <v>45665.44181712963</v>
      </c>
      <c r="M51" s="11">
        <f>IF(AND(ISNUMBER(E51),ISNUMBER(G51)),(G51-E51),"")</f>
        <v/>
      </c>
      <c r="N51" s="11">
        <f>IF(AND(ISNUMBER(G51),ISNUMBER(L51)),(L51-G51),"")</f>
        <v/>
      </c>
      <c r="O51" s="10" t="n">
        <v>45665.24505787037</v>
      </c>
      <c r="P51" s="11">
        <f>IF(AND(ISNUMBER(I51),ISNUMBER(O51)),(I51-O51),"")</f>
        <v/>
      </c>
      <c r="Q51" s="12" t="inlineStr">
        <is>
          <t>WG 1201702 entered track and got secured then waited 3:56:47 for cut 1201802+1201803+1201804+1201805 to get coupled, OBTP started on 09:50:55 finished on 10:34:55 and then left at 10:36:13</t>
        </is>
      </c>
    </row>
    <row r="52">
      <c r="A52" s="3" t="inlineStr">
        <is>
          <t>1201801</t>
        </is>
      </c>
      <c r="B52" s="3" t="inlineStr">
        <is>
          <t>12018</t>
        </is>
      </c>
      <c r="C52" s="9" t="n">
        <v>32</v>
      </c>
      <c r="D52" s="3" t="inlineStr">
        <is>
          <t>Innsbruck</t>
        </is>
      </c>
      <c r="E52" s="10" t="n">
        <v>45665.37700231482</v>
      </c>
      <c r="F52" s="10" t="n">
        <v>45665.38309027778</v>
      </c>
      <c r="G52" s="10" t="n">
        <v>45665.38429398148</v>
      </c>
      <c r="H52" s="3" t="inlineStr">
        <is>
          <t>OBT080125145710-Innsbruck</t>
        </is>
      </c>
      <c r="I52" s="10" t="n">
        <v>45665.62390046296</v>
      </c>
      <c r="J52" s="10" t="n">
        <v>45665.64890046296</v>
      </c>
      <c r="K52" s="10" t="n">
        <v>45665.64890046296</v>
      </c>
      <c r="L52" s="10" t="n">
        <v>45665.64969907407</v>
      </c>
      <c r="M52" s="11">
        <f>IF(AND(ISNUMBER(E52),ISNUMBER(G52)),(G52-E52),"")</f>
        <v/>
      </c>
      <c r="N52" s="11">
        <f>IF(AND(ISNUMBER(G52),ISNUMBER(L52)),(L52-G52),"")</f>
        <v/>
      </c>
      <c r="O52" s="10" t="n">
        <v>45665.38842592593</v>
      </c>
      <c r="P52" s="11">
        <f>IF(AND(ISNUMBER(I52),ISNUMBER(O52)),(I52-O52),"")</f>
        <v/>
      </c>
      <c r="Q52" s="12" t="inlineStr">
        <is>
          <t>WG 1201801 entered track and got secured then waited 5:37:50 for cut 1202302+1202303 to get coupled, OBTP started on 14:58:25 finished on 15:34:25 and then left at 15:35:34</t>
        </is>
      </c>
    </row>
    <row r="53">
      <c r="A53" s="3" t="inlineStr">
        <is>
          <t>1201802</t>
        </is>
      </c>
      <c r="B53" s="3" t="inlineStr">
        <is>
          <t>12018</t>
        </is>
      </c>
      <c r="C53" s="9" t="n">
        <v>48</v>
      </c>
      <c r="D53" s="3" t="inlineStr">
        <is>
          <t>Budapest</t>
        </is>
      </c>
      <c r="E53" s="10" t="n">
        <v>45665.37700231482</v>
      </c>
      <c r="F53" s="10" t="n">
        <v>45665.38429398148</v>
      </c>
      <c r="G53" s="10" t="n">
        <v>45665.38662037037</v>
      </c>
      <c r="H53" s="3" t="inlineStr">
        <is>
          <t>OBT080125094940-Budapest</t>
        </is>
      </c>
      <c r="I53" s="10" t="n">
        <v>45665.4103587963</v>
      </c>
      <c r="J53" s="10" t="n">
        <v>45665.44091435185</v>
      </c>
      <c r="K53" s="10" t="n">
        <v>45665.44091435185</v>
      </c>
      <c r="L53" s="10" t="n">
        <v>45665.44181712963</v>
      </c>
      <c r="M53" s="11">
        <f>IF(AND(ISNUMBER(E53),ISNUMBER(G53)),(G53-E53),"")</f>
        <v/>
      </c>
      <c r="N53" s="11">
        <f>IF(AND(ISNUMBER(G53),ISNUMBER(L53)),(L53-G53),"")</f>
        <v/>
      </c>
      <c r="O53" s="10" t="n">
        <v>45665.40949074074</v>
      </c>
      <c r="P53" s="11">
        <f>IF(AND(ISNUMBER(I53),ISNUMBER(O53)),(I53-O53),"")</f>
        <v/>
      </c>
      <c r="Q53" s="12" t="inlineStr">
        <is>
          <t>WG 1201802 (already coupled to WG 1201803, WG 1201804, WG 1201805 from the inbound train) entered track and got coupled to WG 1201702, OBTP started on 09:50:55 finished on 10:34:55 and then left at 10:36:13</t>
        </is>
      </c>
    </row>
    <row r="54">
      <c r="A54" s="3" t="inlineStr">
        <is>
          <t>1201803</t>
        </is>
      </c>
      <c r="B54" s="3" t="inlineStr">
        <is>
          <t>12018</t>
        </is>
      </c>
      <c r="C54" s="9" t="n">
        <v>32</v>
      </c>
      <c r="D54" s="3" t="inlineStr">
        <is>
          <t>Budapest</t>
        </is>
      </c>
      <c r="E54" s="10" t="n">
        <v>45665.37700231482</v>
      </c>
      <c r="F54" s="10" t="n">
        <v>45665.38429398148</v>
      </c>
      <c r="G54" s="10" t="n">
        <v>45665.38662037037</v>
      </c>
      <c r="H54" s="3" t="inlineStr">
        <is>
          <t>OBT080125094940-Budapest</t>
        </is>
      </c>
      <c r="I54" s="10" t="n">
        <v>45665.4103587963</v>
      </c>
      <c r="J54" s="10" t="n">
        <v>45665.44091435185</v>
      </c>
      <c r="K54" s="10" t="n">
        <v>45665.44091435185</v>
      </c>
      <c r="L54" s="10" t="n">
        <v>45665.44181712963</v>
      </c>
      <c r="M54" s="11">
        <f>IF(AND(ISNUMBER(E54),ISNUMBER(G54)),(G54-E54),"")</f>
        <v/>
      </c>
      <c r="N54" s="11">
        <f>IF(AND(ISNUMBER(G54),ISNUMBER(L54)),(L54-G54),"")</f>
        <v/>
      </c>
      <c r="O54" s="10" t="n">
        <v>45665.40949074074</v>
      </c>
      <c r="P54" s="11">
        <f>IF(AND(ISNUMBER(I54),ISNUMBER(O54)),(I54-O54),"")</f>
        <v/>
      </c>
      <c r="Q54" s="12" t="inlineStr">
        <is>
          <t>WG 1201803 (already coupled to WG 1201802, WG 1201804, WG 1201805 from the inbound train) entered track and got coupled to WG 1201702, OBTP started on 09:50:55 finished on 10:34:55 and then left at 10:36:13</t>
        </is>
      </c>
    </row>
    <row r="55">
      <c r="A55" s="3" t="inlineStr">
        <is>
          <t>1201804</t>
        </is>
      </c>
      <c r="B55" s="3" t="inlineStr">
        <is>
          <t>12018</t>
        </is>
      </c>
      <c r="C55" s="9" t="n">
        <v>32</v>
      </c>
      <c r="D55" s="3" t="inlineStr">
        <is>
          <t>Budapest</t>
        </is>
      </c>
      <c r="E55" s="10" t="n">
        <v>45665.37700231482</v>
      </c>
      <c r="F55" s="10" t="n">
        <v>45665.38429398148</v>
      </c>
      <c r="G55" s="10" t="n">
        <v>45665.38662037037</v>
      </c>
      <c r="H55" s="3" t="inlineStr">
        <is>
          <t>OBT080125094940-Budapest</t>
        </is>
      </c>
      <c r="I55" s="10" t="n">
        <v>45665.4103587963</v>
      </c>
      <c r="J55" s="10" t="n">
        <v>45665.44091435185</v>
      </c>
      <c r="K55" s="10" t="n">
        <v>45665.44091435185</v>
      </c>
      <c r="L55" s="10" t="n">
        <v>45665.44181712963</v>
      </c>
      <c r="M55" s="11">
        <f>IF(AND(ISNUMBER(E55),ISNUMBER(G55)),(G55-E55),"")</f>
        <v/>
      </c>
      <c r="N55" s="11">
        <f>IF(AND(ISNUMBER(G55),ISNUMBER(L55)),(L55-G55),"")</f>
        <v/>
      </c>
      <c r="O55" s="10" t="n">
        <v>45665.40949074074</v>
      </c>
      <c r="P55" s="11">
        <f>IF(AND(ISNUMBER(I55),ISNUMBER(O55)),(I55-O55),"")</f>
        <v/>
      </c>
      <c r="Q55" s="12" t="inlineStr">
        <is>
          <t>WG 1201804 (already coupled to WG 1201802, WG 1201803, WG 1201805 from the inbound train) entered track and got coupled to WG 1201702, OBTP started on 09:50:55 finished on 10:34:55 and then left at 10:36:13</t>
        </is>
      </c>
    </row>
    <row r="56">
      <c r="A56" s="3" t="inlineStr">
        <is>
          <t>1201805</t>
        </is>
      </c>
      <c r="B56" s="3" t="inlineStr">
        <is>
          <t>12018</t>
        </is>
      </c>
      <c r="C56" s="9" t="n">
        <v>32</v>
      </c>
      <c r="D56" s="3" t="inlineStr">
        <is>
          <t>Budapest</t>
        </is>
      </c>
      <c r="E56" s="10" t="n">
        <v>45665.37700231482</v>
      </c>
      <c r="F56" s="10" t="n">
        <v>45665.38429398148</v>
      </c>
      <c r="G56" s="10" t="n">
        <v>45665.38662037037</v>
      </c>
      <c r="H56" s="3" t="inlineStr">
        <is>
          <t>OBT080125094940-Budapest</t>
        </is>
      </c>
      <c r="I56" s="10" t="n">
        <v>45665.4103587963</v>
      </c>
      <c r="J56" s="10" t="n">
        <v>45665.44091435185</v>
      </c>
      <c r="K56" s="10" t="n">
        <v>45665.44091435185</v>
      </c>
      <c r="L56" s="10" t="n">
        <v>45665.44181712963</v>
      </c>
      <c r="M56" s="11">
        <f>IF(AND(ISNUMBER(E56),ISNUMBER(G56)),(G56-E56),"")</f>
        <v/>
      </c>
      <c r="N56" s="11">
        <f>IF(AND(ISNUMBER(G56),ISNUMBER(L56)),(L56-G56),"")</f>
        <v/>
      </c>
      <c r="O56" s="10" t="n">
        <v>45665.40949074074</v>
      </c>
      <c r="P56" s="11">
        <f>IF(AND(ISNUMBER(I56),ISNUMBER(O56)),(I56-O56),"")</f>
        <v/>
      </c>
      <c r="Q56" s="12" t="inlineStr">
        <is>
          <t>WG 1201805 (already coupled to WG 1201802, WG 1201803, WG 1201804 from the inbound train) entered track and got coupled to WG 1201702, OBTP started on 09:50:55 finished on 10:34:55 and then left at 10:36:13</t>
        </is>
      </c>
    </row>
    <row r="57">
      <c r="A57" s="3" t="inlineStr">
        <is>
          <t>1201901</t>
        </is>
      </c>
      <c r="B57" s="3" t="inlineStr">
        <is>
          <t>12019</t>
        </is>
      </c>
      <c r="C57" s="9" t="n">
        <v>32</v>
      </c>
      <c r="D57" s="3" t="inlineStr">
        <is>
          <t>Graz</t>
        </is>
      </c>
      <c r="E57" s="10" t="n">
        <v>45665.38203703704</v>
      </c>
      <c r="F57" s="10" t="n">
        <v>45665.38791666667</v>
      </c>
      <c r="G57" s="10" t="n">
        <v>45665.38991898148</v>
      </c>
      <c r="H57" s="3" t="inlineStr">
        <is>
          <t>OBT080125095423-Graz</t>
        </is>
      </c>
      <c r="I57" s="10" t="n">
        <v>45665.41447916667</v>
      </c>
      <c r="J57" s="10" t="n">
        <v>45665.45614583333</v>
      </c>
      <c r="K57" s="10" t="n">
        <v>45665.45614583333</v>
      </c>
      <c r="L57" s="10" t="n">
        <v>45665.45729166667</v>
      </c>
      <c r="M57" s="11">
        <f>IF(AND(ISNUMBER(E57),ISNUMBER(G57)),(G57-E57),"")</f>
        <v/>
      </c>
      <c r="N57" s="11">
        <f>IF(AND(ISNUMBER(G57),ISNUMBER(L57)),(L57-G57),"")</f>
        <v/>
      </c>
      <c r="O57" s="10" t="n">
        <v>45665.41276620371</v>
      </c>
      <c r="P57" s="11">
        <f>IF(AND(ISNUMBER(I57),ISNUMBER(O57)),(I57-O57),"")</f>
        <v/>
      </c>
      <c r="Q57" s="12" t="inlineStr">
        <is>
          <t>WG 1201901 (already coupled to WG 1201902, WG 1201903 from the inbound train) entered track and got coupled to cut 1201601+1201602, OBTP started on 09:56:51 finished on 10:56:51 and then left at 10:58:30</t>
        </is>
      </c>
    </row>
    <row r="58">
      <c r="A58" s="3" t="inlineStr">
        <is>
          <t>1201902</t>
        </is>
      </c>
      <c r="B58" s="3" t="inlineStr">
        <is>
          <t>12019</t>
        </is>
      </c>
      <c r="C58" s="9" t="n">
        <v>48</v>
      </c>
      <c r="D58" s="3" t="inlineStr">
        <is>
          <t>Graz</t>
        </is>
      </c>
      <c r="E58" s="10" t="n">
        <v>45665.38203703704</v>
      </c>
      <c r="F58" s="10" t="n">
        <v>45665.38791666667</v>
      </c>
      <c r="G58" s="10" t="n">
        <v>45665.38991898148</v>
      </c>
      <c r="H58" s="3" t="inlineStr">
        <is>
          <t>OBT080125095423-Graz</t>
        </is>
      </c>
      <c r="I58" s="10" t="n">
        <v>45665.41447916667</v>
      </c>
      <c r="J58" s="10" t="n">
        <v>45665.45614583333</v>
      </c>
      <c r="K58" s="10" t="n">
        <v>45665.45614583333</v>
      </c>
      <c r="L58" s="10" t="n">
        <v>45665.45729166667</v>
      </c>
      <c r="M58" s="11">
        <f>IF(AND(ISNUMBER(E58),ISNUMBER(G58)),(G58-E58),"")</f>
        <v/>
      </c>
      <c r="N58" s="11">
        <f>IF(AND(ISNUMBER(G58),ISNUMBER(L58)),(L58-G58),"")</f>
        <v/>
      </c>
      <c r="O58" s="10" t="n">
        <v>45665.41276620371</v>
      </c>
      <c r="P58" s="11">
        <f>IF(AND(ISNUMBER(I58),ISNUMBER(O58)),(I58-O58),"")</f>
        <v/>
      </c>
      <c r="Q58" s="12" t="inlineStr">
        <is>
          <t>WG 1201902 (already coupled to WG 1201901, WG 1201903 from the inbound train) entered track and got coupled to cut 1201601+1201602, OBTP started on 09:56:51 finished on 10:56:51 and then left at 10:58:30</t>
        </is>
      </c>
    </row>
    <row r="59">
      <c r="A59" s="3" t="inlineStr">
        <is>
          <t>1201903</t>
        </is>
      </c>
      <c r="B59" s="3" t="inlineStr">
        <is>
          <t>12019</t>
        </is>
      </c>
      <c r="C59" s="9" t="n">
        <v>64</v>
      </c>
      <c r="D59" s="3" t="inlineStr">
        <is>
          <t>Graz</t>
        </is>
      </c>
      <c r="E59" s="10" t="n">
        <v>45665.38203703704</v>
      </c>
      <c r="F59" s="10" t="n">
        <v>45665.38791666667</v>
      </c>
      <c r="G59" s="10" t="n">
        <v>45665.38991898148</v>
      </c>
      <c r="H59" s="3" t="inlineStr">
        <is>
          <t>OBT080125095423-Graz</t>
        </is>
      </c>
      <c r="I59" s="10" t="n">
        <v>45665.41447916667</v>
      </c>
      <c r="J59" s="10" t="n">
        <v>45665.45614583333</v>
      </c>
      <c r="K59" s="10" t="n">
        <v>45665.45614583333</v>
      </c>
      <c r="L59" s="10" t="n">
        <v>45665.45729166667</v>
      </c>
      <c r="M59" s="11">
        <f>IF(AND(ISNUMBER(E59),ISNUMBER(G59)),(G59-E59),"")</f>
        <v/>
      </c>
      <c r="N59" s="11">
        <f>IF(AND(ISNUMBER(G59),ISNUMBER(L59)),(L59-G59),"")</f>
        <v/>
      </c>
      <c r="O59" s="10" t="n">
        <v>45665.41276620371</v>
      </c>
      <c r="P59" s="11">
        <f>IF(AND(ISNUMBER(I59),ISNUMBER(O59)),(I59-O59),"")</f>
        <v/>
      </c>
      <c r="Q59" s="12" t="inlineStr">
        <is>
          <t>WG 1201903 (already coupled to WG 1201901, WG 1201902 from the inbound train) entered track and got coupled to cut 1201601+1201602, OBTP started on 09:56:51 finished on 10:56:51 and then left at 10:58:30</t>
        </is>
      </c>
    </row>
    <row r="60">
      <c r="A60" s="3" t="inlineStr">
        <is>
          <t>1202001</t>
        </is>
      </c>
      <c r="B60" s="3" t="inlineStr">
        <is>
          <t>12020</t>
        </is>
      </c>
      <c r="C60" s="9" t="n">
        <v>32</v>
      </c>
      <c r="D60" s="3" t="inlineStr">
        <is>
          <t>Budapest</t>
        </is>
      </c>
      <c r="E60" s="10" t="n">
        <v>45665.39856481482</v>
      </c>
      <c r="F60" s="10" t="n">
        <v>45665.40461805555</v>
      </c>
      <c r="G60" s="10" t="n">
        <v>45665.40592592592</v>
      </c>
      <c r="H60" s="3" t="inlineStr">
        <is>
          <t>OBT080125111223-Budapest</t>
        </is>
      </c>
      <c r="I60" s="10" t="n">
        <v>45665.46776620371</v>
      </c>
      <c r="J60" s="10" t="n">
        <v>45665.50387731481</v>
      </c>
      <c r="K60" s="10" t="n">
        <v>45665.50387731481</v>
      </c>
      <c r="L60" s="10" t="n">
        <v>45665.50479166667</v>
      </c>
      <c r="M60" s="11">
        <f>IF(AND(ISNUMBER(E60),ISNUMBER(G60)),(G60-E60),"")</f>
        <v/>
      </c>
      <c r="N60" s="11">
        <f>IF(AND(ISNUMBER(G60),ISNUMBER(L60)),(L60-G60),"")</f>
        <v/>
      </c>
      <c r="O60" s="10" t="n">
        <v>45665.40966435185</v>
      </c>
      <c r="P60" s="11">
        <f>IF(AND(ISNUMBER(I60),ISNUMBER(O60)),(I60-O60),"")</f>
        <v/>
      </c>
      <c r="Q60" s="12" t="inlineStr">
        <is>
          <t>WG 1202001 entered track and got secured then waited 1:22:28 for cut 1202201+1202202+1202203 to get coupled, OBTP started on 11:13:35 finished on 12:05:35 and then left at 12:06:54</t>
        </is>
      </c>
    </row>
    <row r="61">
      <c r="A61" s="3" t="inlineStr">
        <is>
          <t>1202002</t>
        </is>
      </c>
      <c r="B61" s="3" t="inlineStr">
        <is>
          <t>12020</t>
        </is>
      </c>
      <c r="C61" s="9" t="n">
        <v>64</v>
      </c>
      <c r="D61" s="3" t="inlineStr">
        <is>
          <t>Vienna</t>
        </is>
      </c>
      <c r="E61" s="10" t="n">
        <v>45665.39856481482</v>
      </c>
      <c r="F61" s="10" t="n">
        <v>45665.40592592592</v>
      </c>
      <c r="G61" s="10" t="n">
        <v>45665.40802083333</v>
      </c>
      <c r="H61" s="3" t="inlineStr">
        <is>
          <t>OBT080125101213-Vienna</t>
        </is>
      </c>
      <c r="I61" s="10" t="n">
        <v>45665.42962962963</v>
      </c>
      <c r="J61" s="10" t="n">
        <v>45665.4574074074</v>
      </c>
      <c r="K61" s="10" t="n">
        <v>45665.4574074074</v>
      </c>
      <c r="L61" s="10" t="n">
        <v>45665.45832175926</v>
      </c>
      <c r="M61" s="11">
        <f>IF(AND(ISNUMBER(E61),ISNUMBER(G61)),(G61-E61),"")</f>
        <v/>
      </c>
      <c r="N61" s="11">
        <f>IF(AND(ISNUMBER(G61),ISNUMBER(L61)),(L61-G61),"")</f>
        <v/>
      </c>
      <c r="O61" s="10" t="n">
        <v>45665.42515046296</v>
      </c>
      <c r="P61" s="11">
        <f>IF(AND(ISNUMBER(I61),ISNUMBER(O61)),(I61-O61),"")</f>
        <v/>
      </c>
      <c r="Q61" s="12" t="inlineStr">
        <is>
          <t>WG 1202002 (already coupled to WG 1202003, WG 1202004 from the inbound train) entered track and got secured, OBTP started on 10:18:40 finished on 10:58:40 and then left at 10:59:59</t>
        </is>
      </c>
    </row>
    <row r="62">
      <c r="A62" s="3" t="inlineStr">
        <is>
          <t>1202003</t>
        </is>
      </c>
      <c r="B62" s="3" t="inlineStr">
        <is>
          <t>12020</t>
        </is>
      </c>
      <c r="C62" s="9" t="n">
        <v>64</v>
      </c>
      <c r="D62" s="3" t="inlineStr">
        <is>
          <t>Vienna</t>
        </is>
      </c>
      <c r="E62" s="10" t="n">
        <v>45665.39856481482</v>
      </c>
      <c r="F62" s="10" t="n">
        <v>45665.40592592592</v>
      </c>
      <c r="G62" s="10" t="n">
        <v>45665.40802083333</v>
      </c>
      <c r="H62" s="3" t="inlineStr">
        <is>
          <t>OBT080125101213-Vienna</t>
        </is>
      </c>
      <c r="I62" s="10" t="n">
        <v>45665.42962962963</v>
      </c>
      <c r="J62" s="10" t="n">
        <v>45665.4574074074</v>
      </c>
      <c r="K62" s="10" t="n">
        <v>45665.4574074074</v>
      </c>
      <c r="L62" s="10" t="n">
        <v>45665.45832175926</v>
      </c>
      <c r="M62" s="11">
        <f>IF(AND(ISNUMBER(E62),ISNUMBER(G62)),(G62-E62),"")</f>
        <v/>
      </c>
      <c r="N62" s="11">
        <f>IF(AND(ISNUMBER(G62),ISNUMBER(L62)),(L62-G62),"")</f>
        <v/>
      </c>
      <c r="O62" s="10" t="n">
        <v>45665.42515046296</v>
      </c>
      <c r="P62" s="11">
        <f>IF(AND(ISNUMBER(I62),ISNUMBER(O62)),(I62-O62),"")</f>
        <v/>
      </c>
      <c r="Q62" s="12" t="inlineStr">
        <is>
          <t>WG 1202003 (already coupled to WG 1202002, WG 1202004 from the inbound train) entered track and got secured, OBTP started on 10:18:40 finished on 10:58:40 and then left at 10:59:59</t>
        </is>
      </c>
    </row>
    <row r="63">
      <c r="A63" s="3" t="inlineStr">
        <is>
          <t>1202004</t>
        </is>
      </c>
      <c r="B63" s="3" t="inlineStr">
        <is>
          <t>12020</t>
        </is>
      </c>
      <c r="C63" s="9" t="n">
        <v>32</v>
      </c>
      <c r="D63" s="3" t="inlineStr">
        <is>
          <t>Vienna</t>
        </is>
      </c>
      <c r="E63" s="10" t="n">
        <v>45665.39856481482</v>
      </c>
      <c r="F63" s="10" t="n">
        <v>45665.40592592592</v>
      </c>
      <c r="G63" s="10" t="n">
        <v>45665.40802083333</v>
      </c>
      <c r="H63" s="3" t="inlineStr">
        <is>
          <t>OBT080125101213-Vienna</t>
        </is>
      </c>
      <c r="I63" s="10" t="n">
        <v>45665.42962962963</v>
      </c>
      <c r="J63" s="10" t="n">
        <v>45665.4574074074</v>
      </c>
      <c r="K63" s="10" t="n">
        <v>45665.4574074074</v>
      </c>
      <c r="L63" s="10" t="n">
        <v>45665.45832175926</v>
      </c>
      <c r="M63" s="11">
        <f>IF(AND(ISNUMBER(E63),ISNUMBER(G63)),(G63-E63),"")</f>
        <v/>
      </c>
      <c r="N63" s="11">
        <f>IF(AND(ISNUMBER(G63),ISNUMBER(L63)),(L63-G63),"")</f>
        <v/>
      </c>
      <c r="O63" s="10" t="n">
        <v>45665.42515046296</v>
      </c>
      <c r="P63" s="11">
        <f>IF(AND(ISNUMBER(I63),ISNUMBER(O63)),(I63-O63),"")</f>
        <v/>
      </c>
      <c r="Q63" s="12" t="inlineStr">
        <is>
          <t>WG 1202004 (already coupled to WG 1202002, WG 1202003 from the inbound train) entered track and got secured, OBTP started on 10:18:40 finished on 10:58:40 and then left at 10:59:59</t>
        </is>
      </c>
    </row>
    <row r="64">
      <c r="A64" s="3" t="inlineStr">
        <is>
          <t>1202101</t>
        </is>
      </c>
      <c r="B64" s="3" t="inlineStr">
        <is>
          <t>12021</t>
        </is>
      </c>
      <c r="C64" s="9" t="n">
        <v>80</v>
      </c>
      <c r="D64" s="3" t="inlineStr">
        <is>
          <t>Graz</t>
        </is>
      </c>
      <c r="E64" s="10" t="n">
        <v>45665.40430555555</v>
      </c>
      <c r="F64" s="10" t="n">
        <v>45665.41017361111</v>
      </c>
      <c r="G64" s="10" t="n">
        <v>45665.41243055555</v>
      </c>
      <c r="H64" s="3" t="inlineStr">
        <is>
          <t>OBT080125101621-Graz</t>
        </is>
      </c>
      <c r="I64" s="10" t="n">
        <v>45665.4578587963</v>
      </c>
      <c r="J64" s="10" t="n">
        <v>45665.48563657407</v>
      </c>
      <c r="K64" s="10" t="n">
        <v>45665.48563657407</v>
      </c>
      <c r="L64" s="10" t="n">
        <v>45665.48655092593</v>
      </c>
      <c r="M64" s="11">
        <f>IF(AND(ISNUMBER(E64),ISNUMBER(G64)),(G64-E64),"")</f>
        <v/>
      </c>
      <c r="N64" s="11">
        <f>IF(AND(ISNUMBER(G64),ISNUMBER(L64)),(L64-G64),"")</f>
        <v/>
      </c>
      <c r="O64" s="10" t="n">
        <v>45665.42802083334</v>
      </c>
      <c r="P64" s="11">
        <f>IF(AND(ISNUMBER(I64),ISNUMBER(O64)),(I64-O64),"")</f>
        <v/>
      </c>
      <c r="Q64" s="12" t="inlineStr">
        <is>
          <t>WG 1202101 (already coupled to WG 1202102, WG 1202103 from the inbound train) entered track and got secured, OBTP started on 10:59:19 finished on 11:39:19 and then left at 11:40:38</t>
        </is>
      </c>
    </row>
    <row r="65">
      <c r="A65" s="3" t="inlineStr">
        <is>
          <t>1202102</t>
        </is>
      </c>
      <c r="B65" s="3" t="inlineStr">
        <is>
          <t>12021</t>
        </is>
      </c>
      <c r="C65" s="9" t="n">
        <v>32</v>
      </c>
      <c r="D65" s="3" t="inlineStr">
        <is>
          <t>Graz</t>
        </is>
      </c>
      <c r="E65" s="10" t="n">
        <v>45665.40430555555</v>
      </c>
      <c r="F65" s="10" t="n">
        <v>45665.41017361111</v>
      </c>
      <c r="G65" s="10" t="n">
        <v>45665.41243055555</v>
      </c>
      <c r="H65" s="3" t="inlineStr">
        <is>
          <t>OBT080125101621-Graz</t>
        </is>
      </c>
      <c r="I65" s="10" t="n">
        <v>45665.4578587963</v>
      </c>
      <c r="J65" s="10" t="n">
        <v>45665.48563657407</v>
      </c>
      <c r="K65" s="10" t="n">
        <v>45665.48563657407</v>
      </c>
      <c r="L65" s="10" t="n">
        <v>45665.48655092593</v>
      </c>
      <c r="M65" s="11">
        <f>IF(AND(ISNUMBER(E65),ISNUMBER(G65)),(G65-E65),"")</f>
        <v/>
      </c>
      <c r="N65" s="11">
        <f>IF(AND(ISNUMBER(G65),ISNUMBER(L65)),(L65-G65),"")</f>
        <v/>
      </c>
      <c r="O65" s="10" t="n">
        <v>45665.42802083334</v>
      </c>
      <c r="P65" s="11">
        <f>IF(AND(ISNUMBER(I65),ISNUMBER(O65)),(I65-O65),"")</f>
        <v/>
      </c>
      <c r="Q65" s="12" t="inlineStr">
        <is>
          <t>WG 1202102 (already coupled to WG 1202101, WG 1202103 from the inbound train) entered track and got secured, OBTP started on 10:59:19 finished on 11:39:19 and then left at 11:40:38</t>
        </is>
      </c>
    </row>
    <row r="66">
      <c r="A66" s="3" t="inlineStr">
        <is>
          <t>1202103</t>
        </is>
      </c>
      <c r="B66" s="3" t="inlineStr">
        <is>
          <t>12021</t>
        </is>
      </c>
      <c r="C66" s="9" t="n">
        <v>48</v>
      </c>
      <c r="D66" s="3" t="inlineStr">
        <is>
          <t>Graz</t>
        </is>
      </c>
      <c r="E66" s="10" t="n">
        <v>45665.40430555555</v>
      </c>
      <c r="F66" s="10" t="n">
        <v>45665.41017361111</v>
      </c>
      <c r="G66" s="10" t="n">
        <v>45665.41243055555</v>
      </c>
      <c r="H66" s="3" t="inlineStr">
        <is>
          <t>OBT080125101621-Graz</t>
        </is>
      </c>
      <c r="I66" s="10" t="n">
        <v>45665.4578587963</v>
      </c>
      <c r="J66" s="10" t="n">
        <v>45665.48563657407</v>
      </c>
      <c r="K66" s="10" t="n">
        <v>45665.48563657407</v>
      </c>
      <c r="L66" s="10" t="n">
        <v>45665.48655092593</v>
      </c>
      <c r="M66" s="11">
        <f>IF(AND(ISNUMBER(E66),ISNUMBER(G66)),(G66-E66),"")</f>
        <v/>
      </c>
      <c r="N66" s="11">
        <f>IF(AND(ISNUMBER(G66),ISNUMBER(L66)),(L66-G66),"")</f>
        <v/>
      </c>
      <c r="O66" s="10" t="n">
        <v>45665.42802083334</v>
      </c>
      <c r="P66" s="11">
        <f>IF(AND(ISNUMBER(I66),ISNUMBER(O66)),(I66-O66),"")</f>
        <v/>
      </c>
      <c r="Q66" s="12" t="inlineStr">
        <is>
          <t>WG 1202103 (already coupled to WG 1202101, WG 1202102 from the inbound train) entered track and got secured, OBTP started on 10:59:19 finished on 11:39:19 and then left at 11:40:38</t>
        </is>
      </c>
    </row>
    <row r="67">
      <c r="A67" s="3" t="inlineStr">
        <is>
          <t>1202201</t>
        </is>
      </c>
      <c r="B67" s="3" t="inlineStr">
        <is>
          <t>12022</t>
        </is>
      </c>
      <c r="C67" s="9" t="n">
        <v>48</v>
      </c>
      <c r="D67" s="3" t="inlineStr">
        <is>
          <t>Budapest</t>
        </is>
      </c>
      <c r="E67" s="10" t="n">
        <v>45665.42232638889</v>
      </c>
      <c r="F67" s="10" t="n">
        <v>45665.42913194445</v>
      </c>
      <c r="G67" s="10" t="n">
        <v>45665.43078703704</v>
      </c>
      <c r="H67" s="3" t="inlineStr">
        <is>
          <t>OBT080125111223-Budapest</t>
        </is>
      </c>
      <c r="I67" s="10" t="n">
        <v>45665.46776620371</v>
      </c>
      <c r="J67" s="10" t="n">
        <v>45665.50387731481</v>
      </c>
      <c r="K67" s="10" t="n">
        <v>45665.50387731481</v>
      </c>
      <c r="L67" s="10" t="n">
        <v>45665.50479166667</v>
      </c>
      <c r="M67" s="11">
        <f>IF(AND(ISNUMBER(E67),ISNUMBER(G67)),(G67-E67),"")</f>
        <v/>
      </c>
      <c r="N67" s="11">
        <f>IF(AND(ISNUMBER(G67),ISNUMBER(L67)),(L67-G67),"")</f>
        <v/>
      </c>
      <c r="O67" s="10" t="n">
        <v>45665.46693287037</v>
      </c>
      <c r="P67" s="11">
        <f>IF(AND(ISNUMBER(I67),ISNUMBER(O67)),(I67-O67),"")</f>
        <v/>
      </c>
      <c r="Q67" s="12" t="inlineStr">
        <is>
          <t>WG 1202201 (already coupled to WG 1202202, WG 1202203 from the inbound train) entered track and got coupled to WG 1202001, OBTP started on 11:13:35 finished on 12:05:35 and then left at 12:06:54</t>
        </is>
      </c>
    </row>
    <row r="68">
      <c r="A68" s="3" t="inlineStr">
        <is>
          <t>1202202</t>
        </is>
      </c>
      <c r="B68" s="3" t="inlineStr">
        <is>
          <t>12022</t>
        </is>
      </c>
      <c r="C68" s="9" t="n">
        <v>64</v>
      </c>
      <c r="D68" s="3" t="inlineStr">
        <is>
          <t>Budapest</t>
        </is>
      </c>
      <c r="E68" s="10" t="n">
        <v>45665.42232638889</v>
      </c>
      <c r="F68" s="10" t="n">
        <v>45665.42913194445</v>
      </c>
      <c r="G68" s="10" t="n">
        <v>45665.43078703704</v>
      </c>
      <c r="H68" s="3" t="inlineStr">
        <is>
          <t>OBT080125111223-Budapest</t>
        </is>
      </c>
      <c r="I68" s="10" t="n">
        <v>45665.46776620371</v>
      </c>
      <c r="J68" s="10" t="n">
        <v>45665.50387731481</v>
      </c>
      <c r="K68" s="10" t="n">
        <v>45665.50387731481</v>
      </c>
      <c r="L68" s="10" t="n">
        <v>45665.50479166667</v>
      </c>
      <c r="M68" s="11">
        <f>IF(AND(ISNUMBER(E68),ISNUMBER(G68)),(G68-E68),"")</f>
        <v/>
      </c>
      <c r="N68" s="11">
        <f>IF(AND(ISNUMBER(G68),ISNUMBER(L68)),(L68-G68),"")</f>
        <v/>
      </c>
      <c r="O68" s="10" t="n">
        <v>45665.46693287037</v>
      </c>
      <c r="P68" s="11">
        <f>IF(AND(ISNUMBER(I68),ISNUMBER(O68)),(I68-O68),"")</f>
        <v/>
      </c>
      <c r="Q68" s="12" t="inlineStr">
        <is>
          <t>WG 1202202 (already coupled to WG 1202201, WG 1202203 from the inbound train) entered track and got coupled to WG 1202001, OBTP started on 11:13:35 finished on 12:05:35 and then left at 12:06:54</t>
        </is>
      </c>
    </row>
    <row r="69">
      <c r="A69" s="3" t="inlineStr">
        <is>
          <t>1202203</t>
        </is>
      </c>
      <c r="B69" s="3" t="inlineStr">
        <is>
          <t>12022</t>
        </is>
      </c>
      <c r="C69" s="9" t="n">
        <v>64</v>
      </c>
      <c r="D69" s="3" t="inlineStr">
        <is>
          <t>Budapest</t>
        </is>
      </c>
      <c r="E69" s="10" t="n">
        <v>45665.42232638889</v>
      </c>
      <c r="F69" s="10" t="n">
        <v>45665.42913194445</v>
      </c>
      <c r="G69" s="10" t="n">
        <v>45665.43078703704</v>
      </c>
      <c r="H69" s="3" t="inlineStr">
        <is>
          <t>OBT080125111223-Budapest</t>
        </is>
      </c>
      <c r="I69" s="10" t="n">
        <v>45665.46776620371</v>
      </c>
      <c r="J69" s="10" t="n">
        <v>45665.50387731481</v>
      </c>
      <c r="K69" s="10" t="n">
        <v>45665.50387731481</v>
      </c>
      <c r="L69" s="10" t="n">
        <v>45665.50479166667</v>
      </c>
      <c r="M69" s="11">
        <f>IF(AND(ISNUMBER(E69),ISNUMBER(G69)),(G69-E69),"")</f>
        <v/>
      </c>
      <c r="N69" s="11">
        <f>IF(AND(ISNUMBER(G69),ISNUMBER(L69)),(L69-G69),"")</f>
        <v/>
      </c>
      <c r="O69" s="10" t="n">
        <v>45665.46693287037</v>
      </c>
      <c r="P69" s="11">
        <f>IF(AND(ISNUMBER(I69),ISNUMBER(O69)),(I69-O69),"")</f>
        <v/>
      </c>
      <c r="Q69" s="12" t="inlineStr">
        <is>
          <t>WG 1202203 (already coupled to WG 1202201, WG 1202202 from the inbound train) entered track and got coupled to WG 1202001, OBTP started on 11:13:35 finished on 12:05:35 and then left at 12:06:54</t>
        </is>
      </c>
    </row>
    <row r="70">
      <c r="A70" s="3" t="inlineStr">
        <is>
          <t>1202204</t>
        </is>
      </c>
      <c r="B70" s="3" t="inlineStr">
        <is>
          <t>12022</t>
        </is>
      </c>
      <c r="C70" s="9" t="n">
        <v>80</v>
      </c>
      <c r="D70" s="3" t="inlineStr">
        <is>
          <t>Salzburg</t>
        </is>
      </c>
      <c r="E70" s="10" t="n">
        <v>45665.42232638889</v>
      </c>
      <c r="F70" s="10" t="n">
        <v>45665.43078703704</v>
      </c>
      <c r="G70" s="10" t="n">
        <v>45665.43265046296</v>
      </c>
      <c r="H70" s="3" t="inlineStr">
        <is>
          <t>OBT080125144107-Salzburg</t>
        </is>
      </c>
      <c r="I70" s="10" t="n">
        <v>45665.61273148148</v>
      </c>
      <c r="J70" s="10" t="n">
        <v>45665.6349537037</v>
      </c>
      <c r="K70" s="10" t="n">
        <v>45665.6349537037</v>
      </c>
      <c r="L70" s="10" t="n">
        <v>45665.63575231482</v>
      </c>
      <c r="M70" s="11">
        <f>IF(AND(ISNUMBER(E70),ISNUMBER(G70)),(G70-E70),"")</f>
        <v/>
      </c>
      <c r="N70" s="11">
        <f>IF(AND(ISNUMBER(G70),ISNUMBER(L70)),(L70-G70),"")</f>
        <v/>
      </c>
      <c r="O70" s="10" t="n">
        <v>45665.45079861111</v>
      </c>
      <c r="P70" s="11">
        <f>IF(AND(ISNUMBER(I70),ISNUMBER(O70)),(I70-O70),"")</f>
        <v/>
      </c>
      <c r="Q70" s="12" t="inlineStr">
        <is>
          <t>WG 1202204 entered track and got secured then waited 3:51:58 for WG 1202301 to get coupled, OBTP started on 14:42:20 finished on 15:14:20 and then left at 15:15:29</t>
        </is>
      </c>
    </row>
    <row r="71">
      <c r="A71" s="3" t="inlineStr">
        <is>
          <t>1202301</t>
        </is>
      </c>
      <c r="B71" s="3" t="inlineStr">
        <is>
          <t>12023</t>
        </is>
      </c>
      <c r="C71" s="9" t="n">
        <v>48</v>
      </c>
      <c r="D71" s="3" t="inlineStr">
        <is>
          <t>Salzburg</t>
        </is>
      </c>
      <c r="E71" s="10" t="n">
        <v>45665.59570601852</v>
      </c>
      <c r="F71" s="10" t="n">
        <v>45665.60188657408</v>
      </c>
      <c r="G71" s="10" t="n">
        <v>45665.60369212963</v>
      </c>
      <c r="H71" s="3" t="inlineStr">
        <is>
          <t>OBT080125144107-Salzburg</t>
        </is>
      </c>
      <c r="I71" s="10" t="n">
        <v>45665.61273148148</v>
      </c>
      <c r="J71" s="10" t="n">
        <v>45665.6349537037</v>
      </c>
      <c r="K71" s="10" t="n">
        <v>45665.6349537037</v>
      </c>
      <c r="L71" s="10" t="n">
        <v>45665.63575231482</v>
      </c>
      <c r="M71" s="11">
        <f>IF(AND(ISNUMBER(E71),ISNUMBER(G71)),(G71-E71),"")</f>
        <v/>
      </c>
      <c r="N71" s="11">
        <f>IF(AND(ISNUMBER(G71),ISNUMBER(L71)),(L71-G71),"")</f>
        <v/>
      </c>
      <c r="O71" s="10" t="n">
        <v>45665.61188657407</v>
      </c>
      <c r="P71" s="11">
        <f>IF(AND(ISNUMBER(I71),ISNUMBER(O71)),(I71-O71),"")</f>
        <v/>
      </c>
      <c r="Q71" s="12" t="inlineStr">
        <is>
          <t>WG 1202301 entered track and got coupled to WG 1202204, OBTP started on 14:42:20 finished on 15:14:20 and then left at 15:15:29</t>
        </is>
      </c>
    </row>
    <row r="72">
      <c r="A72" s="3" t="inlineStr">
        <is>
          <t>1202302</t>
        </is>
      </c>
      <c r="B72" s="3" t="inlineStr">
        <is>
          <t>12023</t>
        </is>
      </c>
      <c r="C72" s="9" t="n">
        <v>48</v>
      </c>
      <c r="D72" s="3" t="inlineStr">
        <is>
          <t>Innsbruck</t>
        </is>
      </c>
      <c r="E72" s="10" t="n">
        <v>45665.59570601852</v>
      </c>
      <c r="F72" s="10" t="n">
        <v>45665.60369212963</v>
      </c>
      <c r="G72" s="10" t="n">
        <v>45665.60506944444</v>
      </c>
      <c r="H72" s="3" t="inlineStr">
        <is>
          <t>OBT080125145710-Innsbruck</t>
        </is>
      </c>
      <c r="I72" s="10" t="n">
        <v>45665.62390046296</v>
      </c>
      <c r="J72" s="10" t="n">
        <v>45665.64890046296</v>
      </c>
      <c r="K72" s="10" t="n">
        <v>45665.64890046296</v>
      </c>
      <c r="L72" s="10" t="n">
        <v>45665.64969907407</v>
      </c>
      <c r="M72" s="11">
        <f>IF(AND(ISNUMBER(E72),ISNUMBER(G72)),(G72-E72),"")</f>
        <v/>
      </c>
      <c r="N72" s="11">
        <f>IF(AND(ISNUMBER(G72),ISNUMBER(L72)),(L72-G72),"")</f>
        <v/>
      </c>
      <c r="O72" s="10" t="n">
        <v>45665.62303240741</v>
      </c>
      <c r="P72" s="11">
        <f>IF(AND(ISNUMBER(I72),ISNUMBER(O72)),(I72-O72),"")</f>
        <v/>
      </c>
      <c r="Q72" s="12" t="inlineStr">
        <is>
          <t>WG 1202302 (already coupled to WG 1202303 from the inbound train) entered track and got coupled to WG 1201801, OBTP started on 14:58:25 finished on 15:34:25 and then left at 15:35:34</t>
        </is>
      </c>
    </row>
    <row r="73">
      <c r="A73" s="3" t="inlineStr">
        <is>
          <t>1202303</t>
        </is>
      </c>
      <c r="B73" s="3" t="inlineStr">
        <is>
          <t>12023</t>
        </is>
      </c>
      <c r="C73" s="9" t="n">
        <v>64</v>
      </c>
      <c r="D73" s="3" t="inlineStr">
        <is>
          <t>Innsbruck</t>
        </is>
      </c>
      <c r="E73" s="10" t="n">
        <v>45665.59570601852</v>
      </c>
      <c r="F73" s="10" t="n">
        <v>45665.60369212963</v>
      </c>
      <c r="G73" s="10" t="n">
        <v>45665.60506944444</v>
      </c>
      <c r="H73" s="3" t="inlineStr">
        <is>
          <t>OBT080125145710-Innsbruck</t>
        </is>
      </c>
      <c r="I73" s="10" t="n">
        <v>45665.62390046296</v>
      </c>
      <c r="J73" s="10" t="n">
        <v>45665.64890046296</v>
      </c>
      <c r="K73" s="10" t="n">
        <v>45665.64890046296</v>
      </c>
      <c r="L73" s="10" t="n">
        <v>45665.64969907407</v>
      </c>
      <c r="M73" s="11">
        <f>IF(AND(ISNUMBER(E73),ISNUMBER(G73)),(G73-E73),"")</f>
        <v/>
      </c>
      <c r="N73" s="11">
        <f>IF(AND(ISNUMBER(G73),ISNUMBER(L73)),(L73-G73),"")</f>
        <v/>
      </c>
      <c r="O73" s="10" t="n">
        <v>45665.62303240741</v>
      </c>
      <c r="P73" s="11">
        <f>IF(AND(ISNUMBER(I73),ISNUMBER(O73)),(I73-O73),"")</f>
        <v/>
      </c>
      <c r="Q73" s="12" t="inlineStr">
        <is>
          <t>WG 1202303 (already coupled to WG 1202302 from the inbound train) entered track and got coupled to WG 1201801, OBTP started on 14:58:25 finished on 15:34:25 and then left at 15:35:34</t>
        </is>
      </c>
    </row>
    <row r="74">
      <c r="A74" s="3" t="inlineStr">
        <is>
          <t>1202401</t>
        </is>
      </c>
      <c r="B74" s="3" t="inlineStr">
        <is>
          <t>12024</t>
        </is>
      </c>
      <c r="C74" s="9" t="n">
        <v>64</v>
      </c>
      <c r="D74" s="3" t="inlineStr">
        <is>
          <t>Graz</t>
        </is>
      </c>
      <c r="E74" s="10" t="n">
        <v>45665.75185185186</v>
      </c>
      <c r="F74" s="10" t="n">
        <v>45665.75736111111</v>
      </c>
      <c r="G74" s="10" t="n">
        <v>45665.75873842592</v>
      </c>
      <c r="H74" s="3" t="inlineStr">
        <is>
          <t>OBT080125183013-Graz</t>
        </is>
      </c>
      <c r="I74" s="10" t="n">
        <v>45665.77182870371</v>
      </c>
      <c r="J74" s="10" t="n">
        <v>45665.79127314815</v>
      </c>
      <c r="K74" s="10" t="n">
        <v>45665.79127314815</v>
      </c>
      <c r="L74" s="10" t="n">
        <v>45665.79200231482</v>
      </c>
      <c r="M74" s="11">
        <f>IF(AND(ISNUMBER(E74),ISNUMBER(G74)),(G74-E74),"")</f>
        <v/>
      </c>
      <c r="N74" s="11">
        <f>IF(AND(ISNUMBER(G74),ISNUMBER(L74)),(L74-G74),"")</f>
        <v/>
      </c>
      <c r="O74" s="10" t="n">
        <v>45665.7709837963</v>
      </c>
      <c r="P74" s="11">
        <f>IF(AND(ISNUMBER(I74),ISNUMBER(O74)),(I74-O74),"")</f>
        <v/>
      </c>
      <c r="Q74" s="12" t="inlineStr">
        <is>
          <t>WG 1202401 (already coupled to WG 1202402 from the inbound train) entered track and got secured, OBTP started on 18:31:26 finished on 18:59:26 and then left at 19:00:29</t>
        </is>
      </c>
    </row>
    <row r="75">
      <c r="A75" s="3" t="inlineStr">
        <is>
          <t>1202402</t>
        </is>
      </c>
      <c r="B75" s="3" t="inlineStr">
        <is>
          <t>12024</t>
        </is>
      </c>
      <c r="C75" s="9" t="n">
        <v>48</v>
      </c>
      <c r="D75" s="3" t="inlineStr">
        <is>
          <t>Graz</t>
        </is>
      </c>
      <c r="E75" s="10" t="n">
        <v>45665.75185185186</v>
      </c>
      <c r="F75" s="10" t="n">
        <v>45665.75736111111</v>
      </c>
      <c r="G75" s="10" t="n">
        <v>45665.75873842592</v>
      </c>
      <c r="H75" s="3" t="inlineStr">
        <is>
          <t>OBT080125183013-Graz</t>
        </is>
      </c>
      <c r="I75" s="10" t="n">
        <v>45665.77182870371</v>
      </c>
      <c r="J75" s="10" t="n">
        <v>45665.79127314815</v>
      </c>
      <c r="K75" s="10" t="n">
        <v>45665.79127314815</v>
      </c>
      <c r="L75" s="10" t="n">
        <v>45665.79200231482</v>
      </c>
      <c r="M75" s="11">
        <f>IF(AND(ISNUMBER(E75),ISNUMBER(G75)),(G75-E75),"")</f>
        <v/>
      </c>
      <c r="N75" s="11">
        <f>IF(AND(ISNUMBER(G75),ISNUMBER(L75)),(L75-G75),"")</f>
        <v/>
      </c>
      <c r="O75" s="10" t="n">
        <v>45665.7709837963</v>
      </c>
      <c r="P75" s="11">
        <f>IF(AND(ISNUMBER(I75),ISNUMBER(O75)),(I75-O75),"")</f>
        <v/>
      </c>
      <c r="Q75" s="12" t="inlineStr">
        <is>
          <t>WG 1202402 (already coupled to WG 1202401 from the inbound train) entered track and got secured, OBTP started on 18:31:26 finished on 18:59:26 and then left at 19:00:29</t>
        </is>
      </c>
    </row>
    <row r="76">
      <c r="A76" s="3" t="inlineStr">
        <is>
          <t>1202501</t>
        </is>
      </c>
      <c r="B76" s="3" t="inlineStr">
        <is>
          <t>12025</t>
        </is>
      </c>
      <c r="C76" s="9" t="n">
        <v>48</v>
      </c>
      <c r="D76" s="3" t="inlineStr">
        <is>
          <t>Budapest</t>
        </is>
      </c>
      <c r="E76" s="10" t="n">
        <v>45665.89802083333</v>
      </c>
      <c r="F76" s="10" t="n">
        <v>45665.90503472222</v>
      </c>
      <c r="G76" s="10" t="n">
        <v>45665.90674768519</v>
      </c>
      <c r="H76" s="3" t="inlineStr">
        <is>
          <t>OBT080125222429-Budapest</t>
        </is>
      </c>
      <c r="I76" s="10" t="n">
        <v>45665.93450231481</v>
      </c>
      <c r="J76" s="10" t="n">
        <v>45665.97894675926</v>
      </c>
      <c r="K76" s="10" t="n">
        <v>45665.97894675926</v>
      </c>
      <c r="L76" s="10" t="n">
        <v>45665.98001157407</v>
      </c>
      <c r="M76" s="11">
        <f>IF(AND(ISNUMBER(E76),ISNUMBER(G76)),(G76-E76),"")</f>
        <v/>
      </c>
      <c r="N76" s="11">
        <f>IF(AND(ISNUMBER(G76),ISNUMBER(L76)),(L76-G76),"")</f>
        <v/>
      </c>
      <c r="O76" s="10" t="n">
        <v>45665.93366898148</v>
      </c>
      <c r="P76" s="11">
        <f>IF(AND(ISNUMBER(I76),ISNUMBER(O76)),(I76-O76),"")</f>
        <v/>
      </c>
      <c r="Q76" s="12" t="inlineStr">
        <is>
          <t>WG 1202501 (already coupled to WG 1202502, WG 1202503, WG 1202504, WG 1202505 from the inbound train) entered track and got secured, OBTP started on 22:25:41 finished on 23:29:41 and then left at 23:31:13</t>
        </is>
      </c>
    </row>
    <row r="77">
      <c r="A77" s="3" t="inlineStr">
        <is>
          <t>1202502</t>
        </is>
      </c>
      <c r="B77" s="3" t="inlineStr">
        <is>
          <t>12025</t>
        </is>
      </c>
      <c r="C77" s="9" t="n">
        <v>32</v>
      </c>
      <c r="D77" s="3" t="inlineStr">
        <is>
          <t>Budapest</t>
        </is>
      </c>
      <c r="E77" s="10" t="n">
        <v>45665.89802083333</v>
      </c>
      <c r="F77" s="10" t="n">
        <v>45665.90503472222</v>
      </c>
      <c r="G77" s="10" t="n">
        <v>45665.90674768519</v>
      </c>
      <c r="H77" s="3" t="inlineStr">
        <is>
          <t>OBT080125222429-Budapest</t>
        </is>
      </c>
      <c r="I77" s="10" t="n">
        <v>45665.93450231481</v>
      </c>
      <c r="J77" s="10" t="n">
        <v>45665.97894675926</v>
      </c>
      <c r="K77" s="10" t="n">
        <v>45665.97894675926</v>
      </c>
      <c r="L77" s="10" t="n">
        <v>45665.98001157407</v>
      </c>
      <c r="M77" s="11">
        <f>IF(AND(ISNUMBER(E77),ISNUMBER(G77)),(G77-E77),"")</f>
        <v/>
      </c>
      <c r="N77" s="11">
        <f>IF(AND(ISNUMBER(G77),ISNUMBER(L77)),(L77-G77),"")</f>
        <v/>
      </c>
      <c r="O77" s="10" t="n">
        <v>45665.93366898148</v>
      </c>
      <c r="P77" s="11">
        <f>IF(AND(ISNUMBER(I77),ISNUMBER(O77)),(I77-O77),"")</f>
        <v/>
      </c>
      <c r="Q77" s="12" t="inlineStr">
        <is>
          <t>WG 1202502 (already coupled to WG 1202501, WG 1202503, WG 1202504, WG 1202505 from the inbound train) entered track and got secured, OBTP started on 22:25:41 finished on 23:29:41 and then left at 23:31:13</t>
        </is>
      </c>
    </row>
    <row r="78">
      <c r="A78" s="3" t="inlineStr">
        <is>
          <t>1202503</t>
        </is>
      </c>
      <c r="B78" s="3" t="inlineStr">
        <is>
          <t>12025</t>
        </is>
      </c>
      <c r="C78" s="9" t="n">
        <v>64</v>
      </c>
      <c r="D78" s="3" t="inlineStr">
        <is>
          <t>Budapest</t>
        </is>
      </c>
      <c r="E78" s="10" t="n">
        <v>45665.89802083333</v>
      </c>
      <c r="F78" s="10" t="n">
        <v>45665.90503472222</v>
      </c>
      <c r="G78" s="10" t="n">
        <v>45665.90674768519</v>
      </c>
      <c r="H78" s="3" t="inlineStr">
        <is>
          <t>OBT080125222429-Budapest</t>
        </is>
      </c>
      <c r="I78" s="10" t="n">
        <v>45665.93450231481</v>
      </c>
      <c r="J78" s="10" t="n">
        <v>45665.97894675926</v>
      </c>
      <c r="K78" s="10" t="n">
        <v>45665.97894675926</v>
      </c>
      <c r="L78" s="10" t="n">
        <v>45665.98001157407</v>
      </c>
      <c r="M78" s="11">
        <f>IF(AND(ISNUMBER(E78),ISNUMBER(G78)),(G78-E78),"")</f>
        <v/>
      </c>
      <c r="N78" s="11">
        <f>IF(AND(ISNUMBER(G78),ISNUMBER(L78)),(L78-G78),"")</f>
        <v/>
      </c>
      <c r="O78" s="10" t="n">
        <v>45665.93366898148</v>
      </c>
      <c r="P78" s="11">
        <f>IF(AND(ISNUMBER(I78),ISNUMBER(O78)),(I78-O78),"")</f>
        <v/>
      </c>
      <c r="Q78" s="12" t="inlineStr">
        <is>
          <t>WG 1202503 (already coupled to WG 1202501, WG 1202502, WG 1202504, WG 1202505 from the inbound train) entered track and got secured, OBTP started on 22:25:41 finished on 23:29:41 and then left at 23:31:13</t>
        </is>
      </c>
    </row>
    <row r="79">
      <c r="A79" s="3" t="inlineStr">
        <is>
          <t>1202504</t>
        </is>
      </c>
      <c r="B79" s="3" t="inlineStr">
        <is>
          <t>12025</t>
        </is>
      </c>
      <c r="C79" s="9" t="n">
        <v>48</v>
      </c>
      <c r="D79" s="3" t="inlineStr">
        <is>
          <t>Budapest</t>
        </is>
      </c>
      <c r="E79" s="10" t="n">
        <v>45665.89802083333</v>
      </c>
      <c r="F79" s="10" t="n">
        <v>45665.90503472222</v>
      </c>
      <c r="G79" s="10" t="n">
        <v>45665.90674768519</v>
      </c>
      <c r="H79" s="3" t="inlineStr">
        <is>
          <t>OBT080125222429-Budapest</t>
        </is>
      </c>
      <c r="I79" s="10" t="n">
        <v>45665.93450231481</v>
      </c>
      <c r="J79" s="10" t="n">
        <v>45665.97894675926</v>
      </c>
      <c r="K79" s="10" t="n">
        <v>45665.97894675926</v>
      </c>
      <c r="L79" s="10" t="n">
        <v>45665.98001157407</v>
      </c>
      <c r="M79" s="11">
        <f>IF(AND(ISNUMBER(E79),ISNUMBER(G79)),(G79-E79),"")</f>
        <v/>
      </c>
      <c r="N79" s="11">
        <f>IF(AND(ISNUMBER(G79),ISNUMBER(L79)),(L79-G79),"")</f>
        <v/>
      </c>
      <c r="O79" s="10" t="n">
        <v>45665.93366898148</v>
      </c>
      <c r="P79" s="11">
        <f>IF(AND(ISNUMBER(I79),ISNUMBER(O79)),(I79-O79),"")</f>
        <v/>
      </c>
      <c r="Q79" s="12" t="inlineStr">
        <is>
          <t>WG 1202504 (already coupled to WG 1202501, WG 1202502, WG 1202503, WG 1202505 from the inbound train) entered track and got secured, OBTP started on 22:25:41 finished on 23:29:41 and then left at 23:31:13</t>
        </is>
      </c>
    </row>
    <row r="80">
      <c r="A80" s="3" t="inlineStr">
        <is>
          <t>1202505</t>
        </is>
      </c>
      <c r="B80" s="3" t="inlineStr">
        <is>
          <t>12025</t>
        </is>
      </c>
      <c r="C80" s="9" t="n">
        <v>64</v>
      </c>
      <c r="D80" s="3" t="inlineStr">
        <is>
          <t>Budapest</t>
        </is>
      </c>
      <c r="E80" s="10" t="n">
        <v>45665.89802083333</v>
      </c>
      <c r="F80" s="10" t="n">
        <v>45665.90503472222</v>
      </c>
      <c r="G80" s="10" t="n">
        <v>45665.90674768519</v>
      </c>
      <c r="H80" s="3" t="inlineStr">
        <is>
          <t>OBT080125222429-Budapest</t>
        </is>
      </c>
      <c r="I80" s="10" t="n">
        <v>45665.93450231481</v>
      </c>
      <c r="J80" s="10" t="n">
        <v>45665.97894675926</v>
      </c>
      <c r="K80" s="10" t="n">
        <v>45665.97894675926</v>
      </c>
      <c r="L80" s="10" t="n">
        <v>45665.98001157407</v>
      </c>
      <c r="M80" s="11">
        <f>IF(AND(ISNUMBER(E80),ISNUMBER(G80)),(G80-E80),"")</f>
        <v/>
      </c>
      <c r="N80" s="11">
        <f>IF(AND(ISNUMBER(G80),ISNUMBER(L80)),(L80-G80),"")</f>
        <v/>
      </c>
      <c r="O80" s="10" t="n">
        <v>45665.93366898148</v>
      </c>
      <c r="P80" s="11">
        <f>IF(AND(ISNUMBER(I80),ISNUMBER(O80)),(I80-O80),"")</f>
        <v/>
      </c>
      <c r="Q80" s="12" t="inlineStr">
        <is>
          <t>WG 1202505 (already coupled to WG 1202501, WG 1202502, WG 1202503, WG 1202504 from the inbound train) entered track and got secured, OBTP started on 22:25:41 finished on 23:29:41 and then left at 23:31:13</t>
        </is>
      </c>
    </row>
    <row r="81">
      <c r="A81" s="3" t="inlineStr">
        <is>
          <t>1202601</t>
        </is>
      </c>
      <c r="B81" s="3" t="inlineStr">
        <is>
          <t>12026</t>
        </is>
      </c>
      <c r="C81" s="9" t="n">
        <v>48</v>
      </c>
      <c r="D81" s="3" t="inlineStr">
        <is>
          <t>Salzburg</t>
        </is>
      </c>
      <c r="E81" s="10" t="n">
        <v>45666.21021990741</v>
      </c>
      <c r="F81" s="10" t="n">
        <v>45666.2158449074</v>
      </c>
      <c r="G81" s="10" t="n">
        <v>45666.21719907408</v>
      </c>
      <c r="H81" s="3" t="inlineStr">
        <is>
          <t>OBT090125054651-Salzburg</t>
        </is>
      </c>
      <c r="I81" s="10" t="n">
        <v>45666.24256944445</v>
      </c>
      <c r="J81" s="10" t="n">
        <v>45666.26756944445</v>
      </c>
      <c r="K81" s="10" t="n">
        <v>45666.26756944445</v>
      </c>
      <c r="L81" s="10" t="n">
        <v>45666.26836805556</v>
      </c>
      <c r="M81" s="11">
        <f>IF(AND(ISNUMBER(E81),ISNUMBER(G81)),(G81-E81),"")</f>
        <v/>
      </c>
      <c r="N81" s="11">
        <f>IF(AND(ISNUMBER(G81),ISNUMBER(L81)),(L81-G81),"")</f>
        <v/>
      </c>
      <c r="O81" s="10" t="n">
        <v>45666.2278125</v>
      </c>
      <c r="P81" s="11">
        <f>IF(AND(ISNUMBER(I81),ISNUMBER(O81)),(I81-O81),"")</f>
        <v/>
      </c>
      <c r="Q81" s="12" t="inlineStr">
        <is>
          <t>WG 1202601 (already coupled to WG 1202602 from the inbound train) entered track and got secured then waited 0:18:48 for WG 1202801 to get coupled, OBTP started on 05:49:18 finished on 06:25:18 and then left at 06:26:27</t>
        </is>
      </c>
    </row>
    <row r="82">
      <c r="A82" s="3" t="inlineStr">
        <is>
          <t>1202602</t>
        </is>
      </c>
      <c r="B82" s="3" t="inlineStr">
        <is>
          <t>12026</t>
        </is>
      </c>
      <c r="C82" s="9" t="n">
        <v>48</v>
      </c>
      <c r="D82" s="3" t="inlineStr">
        <is>
          <t>Salzburg</t>
        </is>
      </c>
      <c r="E82" s="10" t="n">
        <v>45666.21021990741</v>
      </c>
      <c r="F82" s="10" t="n">
        <v>45666.2158449074</v>
      </c>
      <c r="G82" s="10" t="n">
        <v>45666.21719907408</v>
      </c>
      <c r="H82" s="3" t="inlineStr">
        <is>
          <t>OBT090125054651-Salzburg</t>
        </is>
      </c>
      <c r="I82" s="10" t="n">
        <v>45666.24256944445</v>
      </c>
      <c r="J82" s="10" t="n">
        <v>45666.26756944445</v>
      </c>
      <c r="K82" s="10" t="n">
        <v>45666.26756944445</v>
      </c>
      <c r="L82" s="10" t="n">
        <v>45666.26836805556</v>
      </c>
      <c r="M82" s="11">
        <f>IF(AND(ISNUMBER(E82),ISNUMBER(G82)),(G82-E82),"")</f>
        <v/>
      </c>
      <c r="N82" s="11">
        <f>IF(AND(ISNUMBER(G82),ISNUMBER(L82)),(L82-G82),"")</f>
        <v/>
      </c>
      <c r="O82" s="10" t="n">
        <v>45666.2278125</v>
      </c>
      <c r="P82" s="11">
        <f>IF(AND(ISNUMBER(I82),ISNUMBER(O82)),(I82-O82),"")</f>
        <v/>
      </c>
      <c r="Q82" s="12" t="inlineStr">
        <is>
          <t>WG 1202602 (already coupled to WG 1202601 from the inbound train) entered track and got secured then waited 0:18:48 for WG 1202801 to get coupled, OBTP started on 05:49:18 finished on 06:25:18 and then left at 06:26:27</t>
        </is>
      </c>
    </row>
    <row r="83">
      <c r="A83" s="3" t="inlineStr">
        <is>
          <t>1202603</t>
        </is>
      </c>
      <c r="B83" s="3" t="inlineStr">
        <is>
          <t>12026</t>
        </is>
      </c>
      <c r="C83" s="9" t="n">
        <v>32</v>
      </c>
      <c r="D83" s="3" t="inlineStr">
        <is>
          <t>Linz</t>
        </is>
      </c>
      <c r="E83" s="10" t="n">
        <v>45666.21021990741</v>
      </c>
      <c r="F83" s="10" t="n">
        <v>45666.21719907408</v>
      </c>
      <c r="G83" s="10" t="n">
        <v>45666.21850694445</v>
      </c>
      <c r="H83" s="3" t="inlineStr">
        <is>
          <t>OBT090125062930-Linz</t>
        </is>
      </c>
      <c r="I83" s="10" t="n">
        <v>45666.28016203704</v>
      </c>
      <c r="J83" s="10" t="n">
        <v>45666.3218287037</v>
      </c>
      <c r="K83" s="10" t="n">
        <v>45666.3218287037</v>
      </c>
      <c r="L83" s="10" t="n">
        <v>45666.3228125</v>
      </c>
      <c r="M83" s="11">
        <f>IF(AND(ISNUMBER(E83),ISNUMBER(G83)),(G83-E83),"")</f>
        <v/>
      </c>
      <c r="N83" s="11">
        <f>IF(AND(ISNUMBER(G83),ISNUMBER(L83)),(L83-G83),"")</f>
        <v/>
      </c>
      <c r="O83" s="10" t="n">
        <v>45666.22225694444</v>
      </c>
      <c r="P83" s="11">
        <f>IF(AND(ISNUMBER(I83),ISNUMBER(O83)),(I83-O83),"")</f>
        <v/>
      </c>
      <c r="Q83" s="12" t="inlineStr">
        <is>
          <t>WG 1202603 entered track and got secured then waited 1:09:27 for cut 1202901+1202902+1202903+1202904 to get coupled, OBTP started on 06:43:26 finished on 07:43:26 and then left at 07:44:51</t>
        </is>
      </c>
    </row>
    <row r="84">
      <c r="A84" s="3" t="inlineStr">
        <is>
          <t>1202701</t>
        </is>
      </c>
      <c r="B84" s="3" t="inlineStr">
        <is>
          <t>12027</t>
        </is>
      </c>
      <c r="C84" s="9" t="n">
        <v>48</v>
      </c>
      <c r="D84" s="3" t="inlineStr">
        <is>
          <t>Vienna</t>
        </is>
      </c>
      <c r="E84" s="10" t="n">
        <v>45666.21614583334</v>
      </c>
      <c r="F84" s="10" t="n">
        <v>45666.2221412037</v>
      </c>
      <c r="G84" s="10" t="n">
        <v>45666.22451388889</v>
      </c>
      <c r="H84" s="3" t="inlineStr">
        <is>
          <t>OBT090125055020-Vienna</t>
        </is>
      </c>
      <c r="I84" s="10" t="n">
        <v>45666.24574074074</v>
      </c>
      <c r="J84" s="10" t="n">
        <v>45666.2762962963</v>
      </c>
      <c r="K84" s="10" t="n">
        <v>45666.2762962963</v>
      </c>
      <c r="L84" s="10" t="n">
        <v>45666.27719907407</v>
      </c>
      <c r="M84" s="11">
        <f>IF(AND(ISNUMBER(E84),ISNUMBER(G84)),(G84-E84),"")</f>
        <v/>
      </c>
      <c r="N84" s="11">
        <f>IF(AND(ISNUMBER(G84),ISNUMBER(L84)),(L84-G84),"")</f>
        <v/>
      </c>
      <c r="O84" s="10" t="n">
        <v>45666.24328703704</v>
      </c>
      <c r="P84" s="11">
        <f>IF(AND(ISNUMBER(I84),ISNUMBER(O84)),(I84-O84),"")</f>
        <v/>
      </c>
      <c r="Q84" s="12" t="inlineStr">
        <is>
          <t>WG 1202701 (already coupled to WG 1202702, WG 1202703 from the inbound train) entered track and got secured, OBTP started on 05:53:52 finished on 06:37:52 and then left at 06:39:10</t>
        </is>
      </c>
    </row>
    <row r="85">
      <c r="A85" s="3" t="inlineStr">
        <is>
          <t>1202702</t>
        </is>
      </c>
      <c r="B85" s="3" t="inlineStr">
        <is>
          <t>12027</t>
        </is>
      </c>
      <c r="C85" s="9" t="n">
        <v>48</v>
      </c>
      <c r="D85" s="3" t="inlineStr">
        <is>
          <t>Vienna</t>
        </is>
      </c>
      <c r="E85" s="10" t="n">
        <v>45666.21614583334</v>
      </c>
      <c r="F85" s="10" t="n">
        <v>45666.2221412037</v>
      </c>
      <c r="G85" s="10" t="n">
        <v>45666.22451388889</v>
      </c>
      <c r="H85" s="3" t="inlineStr">
        <is>
          <t>OBT090125055020-Vienna</t>
        </is>
      </c>
      <c r="I85" s="10" t="n">
        <v>45666.24574074074</v>
      </c>
      <c r="J85" s="10" t="n">
        <v>45666.2762962963</v>
      </c>
      <c r="K85" s="10" t="n">
        <v>45666.2762962963</v>
      </c>
      <c r="L85" s="10" t="n">
        <v>45666.27719907407</v>
      </c>
      <c r="M85" s="11">
        <f>IF(AND(ISNUMBER(E85),ISNUMBER(G85)),(G85-E85),"")</f>
        <v/>
      </c>
      <c r="N85" s="11">
        <f>IF(AND(ISNUMBER(G85),ISNUMBER(L85)),(L85-G85),"")</f>
        <v/>
      </c>
      <c r="O85" s="10" t="n">
        <v>45666.24328703704</v>
      </c>
      <c r="P85" s="11">
        <f>IF(AND(ISNUMBER(I85),ISNUMBER(O85)),(I85-O85),"")</f>
        <v/>
      </c>
      <c r="Q85" s="12" t="inlineStr">
        <is>
          <t>WG 1202702 (already coupled to WG 1202701, WG 1202703 from the inbound train) entered track and got secured, OBTP started on 05:53:52 finished on 06:37:52 and then left at 06:39:10</t>
        </is>
      </c>
    </row>
    <row r="86">
      <c r="A86" s="3" t="inlineStr">
        <is>
          <t>1202703</t>
        </is>
      </c>
      <c r="B86" s="3" t="inlineStr">
        <is>
          <t>12027</t>
        </is>
      </c>
      <c r="C86" s="9" t="n">
        <v>80</v>
      </c>
      <c r="D86" s="3" t="inlineStr">
        <is>
          <t>Vienna</t>
        </is>
      </c>
      <c r="E86" s="10" t="n">
        <v>45666.21614583334</v>
      </c>
      <c r="F86" s="10" t="n">
        <v>45666.2221412037</v>
      </c>
      <c r="G86" s="10" t="n">
        <v>45666.22451388889</v>
      </c>
      <c r="H86" s="3" t="inlineStr">
        <is>
          <t>OBT090125055020-Vienna</t>
        </is>
      </c>
      <c r="I86" s="10" t="n">
        <v>45666.24574074074</v>
      </c>
      <c r="J86" s="10" t="n">
        <v>45666.2762962963</v>
      </c>
      <c r="K86" s="10" t="n">
        <v>45666.2762962963</v>
      </c>
      <c r="L86" s="10" t="n">
        <v>45666.27719907407</v>
      </c>
      <c r="M86" s="11">
        <f>IF(AND(ISNUMBER(E86),ISNUMBER(G86)),(G86-E86),"")</f>
        <v/>
      </c>
      <c r="N86" s="11">
        <f>IF(AND(ISNUMBER(G86),ISNUMBER(L86)),(L86-G86),"")</f>
        <v/>
      </c>
      <c r="O86" s="10" t="n">
        <v>45666.24328703704</v>
      </c>
      <c r="P86" s="11">
        <f>IF(AND(ISNUMBER(I86),ISNUMBER(O86)),(I86-O86),"")</f>
        <v/>
      </c>
      <c r="Q86" s="12" t="inlineStr">
        <is>
          <t>WG 1202703 (already coupled to WG 1202701, WG 1202702 from the inbound train) entered track and got secured, OBTP started on 05:53:52 finished on 06:37:52 and then left at 06:39:10</t>
        </is>
      </c>
    </row>
    <row r="87">
      <c r="A87" s="3" t="inlineStr">
        <is>
          <t>1202801</t>
        </is>
      </c>
      <c r="B87" s="3" t="inlineStr">
        <is>
          <t>12028</t>
        </is>
      </c>
      <c r="C87" s="9" t="n">
        <v>48</v>
      </c>
      <c r="D87" s="3" t="inlineStr">
        <is>
          <t>Salzburg</t>
        </is>
      </c>
      <c r="E87" s="10" t="n">
        <v>45666.22353009259</v>
      </c>
      <c r="F87" s="10" t="n">
        <v>45666.23145833334</v>
      </c>
      <c r="G87" s="10" t="n">
        <v>45666.23269675926</v>
      </c>
      <c r="H87" s="3" t="inlineStr">
        <is>
          <t>OBT090125054651-Salzburg</t>
        </is>
      </c>
      <c r="I87" s="10" t="n">
        <v>45666.24256944445</v>
      </c>
      <c r="J87" s="10" t="n">
        <v>45666.26756944445</v>
      </c>
      <c r="K87" s="10" t="n">
        <v>45666.26756944445</v>
      </c>
      <c r="L87" s="10" t="n">
        <v>45666.26836805556</v>
      </c>
      <c r="M87" s="11">
        <f>IF(AND(ISNUMBER(E87),ISNUMBER(G87)),(G87-E87),"")</f>
        <v/>
      </c>
      <c r="N87" s="11">
        <f>IF(AND(ISNUMBER(G87),ISNUMBER(L87)),(L87-G87),"")</f>
        <v/>
      </c>
      <c r="O87" s="10" t="n">
        <v>45666.24086805555</v>
      </c>
      <c r="P87" s="11">
        <f>IF(AND(ISNUMBER(I87),ISNUMBER(O87)),(I87-O87),"")</f>
        <v/>
      </c>
      <c r="Q87" s="12" t="inlineStr">
        <is>
          <t>WG 1202801 entered track and got coupled to cut 1202601+1202602, OBTP started on 05:49:18 finished on 06:25:18 and then left at 06:26:27</t>
        </is>
      </c>
    </row>
    <row r="88">
      <c r="A88" s="3" t="inlineStr">
        <is>
          <t>1202802</t>
        </is>
      </c>
      <c r="B88" s="3" t="inlineStr">
        <is>
          <t>12028</t>
        </is>
      </c>
      <c r="C88" s="9" t="n">
        <v>48</v>
      </c>
      <c r="D88" s="3" t="inlineStr">
        <is>
          <t>Graz</t>
        </is>
      </c>
      <c r="E88" s="10" t="n">
        <v>45666.22353009259</v>
      </c>
      <c r="F88" s="10" t="n">
        <v>45666.23269675926</v>
      </c>
      <c r="G88" s="10" t="n">
        <v>45666.23449074074</v>
      </c>
      <c r="H88" s="3" t="inlineStr">
        <is>
          <t>OBT090125062427-Graz</t>
        </is>
      </c>
      <c r="I88" s="10" t="n">
        <v>45666.27815972222</v>
      </c>
      <c r="J88" s="10" t="n">
        <v>45666.31704861111</v>
      </c>
      <c r="K88" s="10" t="n">
        <v>45666.31704861111</v>
      </c>
      <c r="L88" s="10" t="n">
        <v>45666.3181712963</v>
      </c>
      <c r="M88" s="11">
        <f>IF(AND(ISNUMBER(E88),ISNUMBER(G88)),(G88-E88),"")</f>
        <v/>
      </c>
      <c r="N88" s="11">
        <f>IF(AND(ISNUMBER(G88),ISNUMBER(L88)),(L88-G88),"")</f>
        <v/>
      </c>
      <c r="O88" s="10" t="n">
        <v>45666.24025462963</v>
      </c>
      <c r="P88" s="11">
        <f>IF(AND(ISNUMBER(I88),ISNUMBER(O88)),(I88-O88),"")</f>
        <v/>
      </c>
      <c r="Q88" s="12" t="inlineStr">
        <is>
          <t>WG 1202802 entered track and got secured then waited 0:05:24 for WG 1202804 to get coupled then waited 0:33:05 for cut 1203001+1203002+1203003 to get coupled, OBTP started on 06:40:33 finished on 07:36:33 and then left at 07:38:10</t>
        </is>
      </c>
    </row>
    <row r="89">
      <c r="A89" s="3" t="inlineStr">
        <is>
          <t>1202803</t>
        </is>
      </c>
      <c r="B89" s="3" t="inlineStr">
        <is>
          <t>12028</t>
        </is>
      </c>
      <c r="C89" s="9" t="n">
        <v>48</v>
      </c>
      <c r="D89" s="3" t="inlineStr">
        <is>
          <t>Klagenfurt</t>
        </is>
      </c>
      <c r="E89" s="10" t="n">
        <v>45666.22353009259</v>
      </c>
      <c r="F89" s="10" t="n">
        <v>45666.23449074074</v>
      </c>
      <c r="G89" s="10" t="n">
        <v>45666.23648148148</v>
      </c>
      <c r="H89" s="3" t="inlineStr">
        <is>
          <t>OBT100125080623-Klagenfurt</t>
        </is>
      </c>
      <c r="I89" s="10" t="n">
        <v>45667.33863425926</v>
      </c>
      <c r="J89" s="10" t="n">
        <v>45667.36085648148</v>
      </c>
      <c r="K89" s="10" t="n">
        <v>45667.36085648148</v>
      </c>
      <c r="L89" s="10" t="n">
        <v>45667.36155092593</v>
      </c>
      <c r="M89" s="11">
        <f>IF(AND(ISNUMBER(E89),ISNUMBER(G89)),(G89-E89),"")</f>
        <v/>
      </c>
      <c r="N89" s="11">
        <f>IF(AND(ISNUMBER(G89),ISNUMBER(L89)),(L89-G89),"")</f>
        <v/>
      </c>
      <c r="O89" s="10" t="n">
        <v>45666.24392361111</v>
      </c>
      <c r="P89" s="11">
        <f>IF(AND(ISNUMBER(I89),ISNUMBER(O89)),(I89-O89),"")</f>
        <v/>
      </c>
      <c r="Q89" s="12" t="inlineStr">
        <is>
          <t>WG 1202803 entered track and got coupled to WG 1201701 then waited 26:15:08 for WG 1204503 to get coupled, OBTP started on 08:07:38 finished on 08:39:38 and then left at 08:40:38</t>
        </is>
      </c>
    </row>
    <row r="90">
      <c r="A90" s="3" t="inlineStr">
        <is>
          <t>1202804</t>
        </is>
      </c>
      <c r="B90" s="3" t="inlineStr">
        <is>
          <t>12028</t>
        </is>
      </c>
      <c r="C90" s="9" t="n">
        <v>32</v>
      </c>
      <c r="D90" s="3" t="inlineStr">
        <is>
          <t>Graz</t>
        </is>
      </c>
      <c r="E90" s="10" t="n">
        <v>45666.22353009259</v>
      </c>
      <c r="F90" s="10" t="n">
        <v>45666.23648148148</v>
      </c>
      <c r="G90" s="10" t="n">
        <v>45666.23824074074</v>
      </c>
      <c r="H90" s="3" t="inlineStr">
        <is>
          <t>OBT090125062427-Graz</t>
        </is>
      </c>
      <c r="I90" s="10" t="n">
        <v>45666.27815972222</v>
      </c>
      <c r="J90" s="10" t="n">
        <v>45666.31704861111</v>
      </c>
      <c r="K90" s="10" t="n">
        <v>45666.31704861111</v>
      </c>
      <c r="L90" s="10" t="n">
        <v>45666.3181712963</v>
      </c>
      <c r="M90" s="11">
        <f>IF(AND(ISNUMBER(E90),ISNUMBER(G90)),(G90-E90),"")</f>
        <v/>
      </c>
      <c r="N90" s="11">
        <f>IF(AND(ISNUMBER(G90),ISNUMBER(L90)),(L90-G90),"")</f>
        <v/>
      </c>
      <c r="O90" s="10" t="n">
        <v>45666.24400462963</v>
      </c>
      <c r="P90" s="11">
        <f>IF(AND(ISNUMBER(I90),ISNUMBER(O90)),(I90-O90),"")</f>
        <v/>
      </c>
      <c r="Q90" s="12" t="inlineStr">
        <is>
          <t>WG 1202804 entered track and got coupled to WG 1202802 then waited 0:33:05 for cut 1203001+1203002+1203003 to get coupled, OBTP started on 06:40:33 finished on 07:36:33 and then left at 07:38:10</t>
        </is>
      </c>
    </row>
    <row r="91">
      <c r="A91" s="3" t="inlineStr">
        <is>
          <t>1202901</t>
        </is>
      </c>
      <c r="B91" s="3" t="inlineStr">
        <is>
          <t>12029</t>
        </is>
      </c>
      <c r="C91" s="9" t="n">
        <v>48</v>
      </c>
      <c r="D91" s="3" t="inlineStr">
        <is>
          <t>Linz</t>
        </is>
      </c>
      <c r="E91" s="10" t="n">
        <v>45666.22940972223</v>
      </c>
      <c r="F91" s="10" t="n">
        <v>45666.2391087963</v>
      </c>
      <c r="G91" s="10" t="n">
        <v>45666.24079861111</v>
      </c>
      <c r="H91" s="3" t="inlineStr">
        <is>
          <t>OBT090125062930-Linz</t>
        </is>
      </c>
      <c r="I91" s="10" t="n">
        <v>45666.28016203704</v>
      </c>
      <c r="J91" s="10" t="n">
        <v>45666.3218287037</v>
      </c>
      <c r="K91" s="10" t="n">
        <v>45666.3218287037</v>
      </c>
      <c r="L91" s="10" t="n">
        <v>45666.3228125</v>
      </c>
      <c r="M91" s="11">
        <f>IF(AND(ISNUMBER(E91),ISNUMBER(G91)),(G91-E91),"")</f>
        <v/>
      </c>
      <c r="N91" s="11">
        <f>IF(AND(ISNUMBER(G91),ISNUMBER(L91)),(L91-G91),"")</f>
        <v/>
      </c>
      <c r="O91" s="10" t="n">
        <v>45666.27048611111</v>
      </c>
      <c r="P91" s="11">
        <f>IF(AND(ISNUMBER(I91),ISNUMBER(O91)),(I91-O91),"")</f>
        <v/>
      </c>
      <c r="Q91" s="12" t="inlineStr">
        <is>
          <t>WG 1202901 (already coupled to WG 1202902, WG 1202903, WG 1202904 from the inbound train) entered track and got coupled to WG 1202603, OBTP started on 06:43:26 finished on 07:43:26 and then left at 07:44:51</t>
        </is>
      </c>
    </row>
    <row r="92">
      <c r="A92" s="3" t="inlineStr">
        <is>
          <t>1202902</t>
        </is>
      </c>
      <c r="B92" s="3" t="inlineStr">
        <is>
          <t>12029</t>
        </is>
      </c>
      <c r="C92" s="9" t="n">
        <v>64</v>
      </c>
      <c r="D92" s="3" t="inlineStr">
        <is>
          <t>Linz</t>
        </is>
      </c>
      <c r="E92" s="10" t="n">
        <v>45666.22940972223</v>
      </c>
      <c r="F92" s="10" t="n">
        <v>45666.2391087963</v>
      </c>
      <c r="G92" s="10" t="n">
        <v>45666.24079861111</v>
      </c>
      <c r="H92" s="3" t="inlineStr">
        <is>
          <t>OBT090125062930-Linz</t>
        </is>
      </c>
      <c r="I92" s="10" t="n">
        <v>45666.28016203704</v>
      </c>
      <c r="J92" s="10" t="n">
        <v>45666.3218287037</v>
      </c>
      <c r="K92" s="10" t="n">
        <v>45666.3218287037</v>
      </c>
      <c r="L92" s="10" t="n">
        <v>45666.3228125</v>
      </c>
      <c r="M92" s="11">
        <f>IF(AND(ISNUMBER(E92),ISNUMBER(G92)),(G92-E92),"")</f>
        <v/>
      </c>
      <c r="N92" s="11">
        <f>IF(AND(ISNUMBER(G92),ISNUMBER(L92)),(L92-G92),"")</f>
        <v/>
      </c>
      <c r="O92" s="10" t="n">
        <v>45666.27048611111</v>
      </c>
      <c r="P92" s="11">
        <f>IF(AND(ISNUMBER(I92),ISNUMBER(O92)),(I92-O92),"")</f>
        <v/>
      </c>
      <c r="Q92" s="12" t="inlineStr">
        <is>
          <t>WG 1202902 (already coupled to WG 1202901, WG 1202903, WG 1202904 from the inbound train) entered track and got coupled to WG 1202603, OBTP started on 06:43:26 finished on 07:43:26 and then left at 07:44:51</t>
        </is>
      </c>
    </row>
    <row r="93">
      <c r="A93" s="3" t="inlineStr">
        <is>
          <t>1202903</t>
        </is>
      </c>
      <c r="B93" s="3" t="inlineStr">
        <is>
          <t>12029</t>
        </is>
      </c>
      <c r="C93" s="9" t="n">
        <v>32</v>
      </c>
      <c r="D93" s="3" t="inlineStr">
        <is>
          <t>Linz</t>
        </is>
      </c>
      <c r="E93" s="10" t="n">
        <v>45666.22940972223</v>
      </c>
      <c r="F93" s="10" t="n">
        <v>45666.2391087963</v>
      </c>
      <c r="G93" s="10" t="n">
        <v>45666.24079861111</v>
      </c>
      <c r="H93" s="3" t="inlineStr">
        <is>
          <t>OBT090125062930-Linz</t>
        </is>
      </c>
      <c r="I93" s="10" t="n">
        <v>45666.28016203704</v>
      </c>
      <c r="J93" s="10" t="n">
        <v>45666.3218287037</v>
      </c>
      <c r="K93" s="10" t="n">
        <v>45666.3218287037</v>
      </c>
      <c r="L93" s="10" t="n">
        <v>45666.3228125</v>
      </c>
      <c r="M93" s="11">
        <f>IF(AND(ISNUMBER(E93),ISNUMBER(G93)),(G93-E93),"")</f>
        <v/>
      </c>
      <c r="N93" s="11">
        <f>IF(AND(ISNUMBER(G93),ISNUMBER(L93)),(L93-G93),"")</f>
        <v/>
      </c>
      <c r="O93" s="10" t="n">
        <v>45666.27048611111</v>
      </c>
      <c r="P93" s="11">
        <f>IF(AND(ISNUMBER(I93),ISNUMBER(O93)),(I93-O93),"")</f>
        <v/>
      </c>
      <c r="Q93" s="12" t="inlineStr">
        <is>
          <t>WG 1202903 (already coupled to WG 1202901, WG 1202902, WG 1202904 from the inbound train) entered track and got coupled to WG 1202603, OBTP started on 06:43:26 finished on 07:43:26 and then left at 07:44:51</t>
        </is>
      </c>
    </row>
    <row r="94">
      <c r="A94" s="3" t="inlineStr">
        <is>
          <t>1202904</t>
        </is>
      </c>
      <c r="B94" s="3" t="inlineStr">
        <is>
          <t>12029</t>
        </is>
      </c>
      <c r="C94" s="9" t="n">
        <v>64</v>
      </c>
      <c r="D94" s="3" t="inlineStr">
        <is>
          <t>Linz</t>
        </is>
      </c>
      <c r="E94" s="10" t="n">
        <v>45666.22940972223</v>
      </c>
      <c r="F94" s="10" t="n">
        <v>45666.2391087963</v>
      </c>
      <c r="G94" s="10" t="n">
        <v>45666.24079861111</v>
      </c>
      <c r="H94" s="3" t="inlineStr">
        <is>
          <t>OBT090125062930-Linz</t>
        </is>
      </c>
      <c r="I94" s="10" t="n">
        <v>45666.28016203704</v>
      </c>
      <c r="J94" s="10" t="n">
        <v>45666.3218287037</v>
      </c>
      <c r="K94" s="10" t="n">
        <v>45666.3218287037</v>
      </c>
      <c r="L94" s="10" t="n">
        <v>45666.3228125</v>
      </c>
      <c r="M94" s="11">
        <f>IF(AND(ISNUMBER(E94),ISNUMBER(G94)),(G94-E94),"")</f>
        <v/>
      </c>
      <c r="N94" s="11">
        <f>IF(AND(ISNUMBER(G94),ISNUMBER(L94)),(L94-G94),"")</f>
        <v/>
      </c>
      <c r="O94" s="10" t="n">
        <v>45666.27048611111</v>
      </c>
      <c r="P94" s="11">
        <f>IF(AND(ISNUMBER(I94),ISNUMBER(O94)),(I94-O94),"")</f>
        <v/>
      </c>
      <c r="Q94" s="12" t="inlineStr">
        <is>
          <t>WG 1202904 (already coupled to WG 1202901, WG 1202902, WG 1202903 from the inbound train) entered track and got coupled to WG 1202603, OBTP started on 06:43:26 finished on 07:43:26 and then left at 07:44:51</t>
        </is>
      </c>
    </row>
    <row r="95">
      <c r="A95" s="3" t="inlineStr">
        <is>
          <t>1203001</t>
        </is>
      </c>
      <c r="B95" s="3" t="inlineStr">
        <is>
          <t>12030</t>
        </is>
      </c>
      <c r="C95" s="9" t="n">
        <v>48</v>
      </c>
      <c r="D95" s="3" t="inlineStr">
        <is>
          <t>Graz</t>
        </is>
      </c>
      <c r="E95" s="10" t="n">
        <v>45666.23256944444</v>
      </c>
      <c r="F95" s="10" t="n">
        <v>45666.24159722222</v>
      </c>
      <c r="G95" s="10" t="n">
        <v>45666.24347222222</v>
      </c>
      <c r="H95" s="3" t="inlineStr">
        <is>
          <t>OBT090125062427-Graz</t>
        </is>
      </c>
      <c r="I95" s="10" t="n">
        <v>45666.27815972222</v>
      </c>
      <c r="J95" s="10" t="n">
        <v>45666.31704861111</v>
      </c>
      <c r="K95" s="10" t="n">
        <v>45666.31704861111</v>
      </c>
      <c r="L95" s="10" t="n">
        <v>45666.3181712963</v>
      </c>
      <c r="M95" s="11">
        <f>IF(AND(ISNUMBER(E95),ISNUMBER(G95)),(G95-E95),"")</f>
        <v/>
      </c>
      <c r="N95" s="11">
        <f>IF(AND(ISNUMBER(G95),ISNUMBER(L95)),(L95-G95),"")</f>
        <v/>
      </c>
      <c r="O95" s="10" t="n">
        <v>45666.26697916666</v>
      </c>
      <c r="P95" s="11">
        <f>IF(AND(ISNUMBER(I95),ISNUMBER(O95)),(I95-O95),"")</f>
        <v/>
      </c>
      <c r="Q95" s="12" t="inlineStr">
        <is>
          <t>WG 1203001 (already coupled to WG 1203002, WG 1203003 from the inbound train) entered track and got coupled to WG 1202804, OBTP started on 06:40:33 finished on 07:36:33 and then left at 07:38:10</t>
        </is>
      </c>
    </row>
    <row r="96">
      <c r="A96" s="3" t="inlineStr">
        <is>
          <t>1203002</t>
        </is>
      </c>
      <c r="B96" s="3" t="inlineStr">
        <is>
          <t>12030</t>
        </is>
      </c>
      <c r="C96" s="9" t="n">
        <v>48</v>
      </c>
      <c r="D96" s="3" t="inlineStr">
        <is>
          <t>Graz</t>
        </is>
      </c>
      <c r="E96" s="10" t="n">
        <v>45666.23256944444</v>
      </c>
      <c r="F96" s="10" t="n">
        <v>45666.24159722222</v>
      </c>
      <c r="G96" s="10" t="n">
        <v>45666.24347222222</v>
      </c>
      <c r="H96" s="3" t="inlineStr">
        <is>
          <t>OBT090125062427-Graz</t>
        </is>
      </c>
      <c r="I96" s="10" t="n">
        <v>45666.27815972222</v>
      </c>
      <c r="J96" s="10" t="n">
        <v>45666.31704861111</v>
      </c>
      <c r="K96" s="10" t="n">
        <v>45666.31704861111</v>
      </c>
      <c r="L96" s="10" t="n">
        <v>45666.3181712963</v>
      </c>
      <c r="M96" s="11">
        <f>IF(AND(ISNUMBER(E96),ISNUMBER(G96)),(G96-E96),"")</f>
        <v/>
      </c>
      <c r="N96" s="11">
        <f>IF(AND(ISNUMBER(G96),ISNUMBER(L96)),(L96-G96),"")</f>
        <v/>
      </c>
      <c r="O96" s="10" t="n">
        <v>45666.26697916666</v>
      </c>
      <c r="P96" s="11">
        <f>IF(AND(ISNUMBER(I96),ISNUMBER(O96)),(I96-O96),"")</f>
        <v/>
      </c>
      <c r="Q96" s="12" t="inlineStr">
        <is>
          <t>WG 1203002 (already coupled to WG 1203001, WG 1203003 from the inbound train) entered track and got coupled to WG 1202804, OBTP started on 06:40:33 finished on 07:36:33 and then left at 07:38:10</t>
        </is>
      </c>
    </row>
    <row r="97">
      <c r="A97" s="3" t="inlineStr">
        <is>
          <t>1203003</t>
        </is>
      </c>
      <c r="B97" s="3" t="inlineStr">
        <is>
          <t>12030</t>
        </is>
      </c>
      <c r="C97" s="9" t="n">
        <v>48</v>
      </c>
      <c r="D97" s="3" t="inlineStr">
        <is>
          <t>Graz</t>
        </is>
      </c>
      <c r="E97" s="10" t="n">
        <v>45666.23256944444</v>
      </c>
      <c r="F97" s="10" t="n">
        <v>45666.24159722222</v>
      </c>
      <c r="G97" s="10" t="n">
        <v>45666.24347222222</v>
      </c>
      <c r="H97" s="3" t="inlineStr">
        <is>
          <t>OBT090125062427-Graz</t>
        </is>
      </c>
      <c r="I97" s="10" t="n">
        <v>45666.27815972222</v>
      </c>
      <c r="J97" s="10" t="n">
        <v>45666.31704861111</v>
      </c>
      <c r="K97" s="10" t="n">
        <v>45666.31704861111</v>
      </c>
      <c r="L97" s="10" t="n">
        <v>45666.3181712963</v>
      </c>
      <c r="M97" s="11">
        <f>IF(AND(ISNUMBER(E97),ISNUMBER(G97)),(G97-E97),"")</f>
        <v/>
      </c>
      <c r="N97" s="11">
        <f>IF(AND(ISNUMBER(G97),ISNUMBER(L97)),(L97-G97),"")</f>
        <v/>
      </c>
      <c r="O97" s="10" t="n">
        <v>45666.26697916666</v>
      </c>
      <c r="P97" s="11">
        <f>IF(AND(ISNUMBER(I97),ISNUMBER(O97)),(I97-O97),"")</f>
        <v/>
      </c>
      <c r="Q97" s="12" t="inlineStr">
        <is>
          <t>WG 1203003 (already coupled to WG 1203001, WG 1203002 from the inbound train) entered track and got coupled to WG 1202804, OBTP started on 06:40:33 finished on 07:36:33 and then left at 07:38:10</t>
        </is>
      </c>
    </row>
    <row r="98">
      <c r="A98" s="3" t="inlineStr">
        <is>
          <t>1203101</t>
        </is>
      </c>
      <c r="B98" s="3" t="inlineStr">
        <is>
          <t>12031</t>
        </is>
      </c>
      <c r="C98" s="9" t="n">
        <v>32</v>
      </c>
      <c r="D98" s="3" t="inlineStr">
        <is>
          <t>Graz</t>
        </is>
      </c>
      <c r="E98" s="10" t="n">
        <v>45666.23584490741</v>
      </c>
      <c r="F98" s="10" t="n">
        <v>45666.24435185185</v>
      </c>
      <c r="G98" s="10" t="n">
        <v>45666.24623842593</v>
      </c>
      <c r="H98" s="3" t="inlineStr">
        <is>
          <t>OBT090125133851-Graz</t>
        </is>
      </c>
      <c r="I98" s="10" t="n">
        <v>45666.56949074074</v>
      </c>
      <c r="J98" s="10" t="n">
        <v>45666.59449074074</v>
      </c>
      <c r="K98" s="10" t="n">
        <v>45666.59449074074</v>
      </c>
      <c r="L98" s="10" t="n">
        <v>45666.59537037037</v>
      </c>
      <c r="M98" s="11">
        <f>IF(AND(ISNUMBER(E98),ISNUMBER(G98)),(G98-E98),"")</f>
        <v/>
      </c>
      <c r="N98" s="11">
        <f>IF(AND(ISNUMBER(G98),ISNUMBER(L98)),(L98-G98),"")</f>
        <v/>
      </c>
      <c r="O98" s="10" t="n">
        <v>45666.27844907407</v>
      </c>
      <c r="P98" s="11">
        <f>IF(AND(ISNUMBER(I98),ISNUMBER(O98)),(I98-O98),"")</f>
        <v/>
      </c>
      <c r="Q98" s="12" t="inlineStr">
        <is>
          <t>WG 1203101 (already coupled to WG 1203102, WG 1203103 from the inbound train) entered track and got secured then waited 6:57:53 for WG 1203704 to get coupled, OBTP started on 13:40:04 finished on 14:16:04 and then left at 14:17:20</t>
        </is>
      </c>
    </row>
    <row r="99">
      <c r="A99" s="3" t="inlineStr">
        <is>
          <t>1203102</t>
        </is>
      </c>
      <c r="B99" s="3" t="inlineStr">
        <is>
          <t>12031</t>
        </is>
      </c>
      <c r="C99" s="9" t="n">
        <v>32</v>
      </c>
      <c r="D99" s="3" t="inlineStr">
        <is>
          <t>Graz</t>
        </is>
      </c>
      <c r="E99" s="10" t="n">
        <v>45666.23584490741</v>
      </c>
      <c r="F99" s="10" t="n">
        <v>45666.24435185185</v>
      </c>
      <c r="G99" s="10" t="n">
        <v>45666.24623842593</v>
      </c>
      <c r="H99" s="3" t="inlineStr">
        <is>
          <t>OBT090125133851-Graz</t>
        </is>
      </c>
      <c r="I99" s="10" t="n">
        <v>45666.56949074074</v>
      </c>
      <c r="J99" s="10" t="n">
        <v>45666.59449074074</v>
      </c>
      <c r="K99" s="10" t="n">
        <v>45666.59449074074</v>
      </c>
      <c r="L99" s="10" t="n">
        <v>45666.59537037037</v>
      </c>
      <c r="M99" s="11">
        <f>IF(AND(ISNUMBER(E99),ISNUMBER(G99)),(G99-E99),"")</f>
        <v/>
      </c>
      <c r="N99" s="11">
        <f>IF(AND(ISNUMBER(G99),ISNUMBER(L99)),(L99-G99),"")</f>
        <v/>
      </c>
      <c r="O99" s="10" t="n">
        <v>45666.27844907407</v>
      </c>
      <c r="P99" s="11">
        <f>IF(AND(ISNUMBER(I99),ISNUMBER(O99)),(I99-O99),"")</f>
        <v/>
      </c>
      <c r="Q99" s="12" t="inlineStr">
        <is>
          <t>WG 1203102 (already coupled to WG 1203101, WG 1203103 from the inbound train) entered track and got secured then waited 6:57:53 for WG 1203704 to get coupled, OBTP started on 13:40:04 finished on 14:16:04 and then left at 14:17:20</t>
        </is>
      </c>
    </row>
    <row r="100">
      <c r="A100" s="3" t="inlineStr">
        <is>
          <t>1203103</t>
        </is>
      </c>
      <c r="B100" s="3" t="inlineStr">
        <is>
          <t>12031</t>
        </is>
      </c>
      <c r="C100" s="9" t="n">
        <v>32</v>
      </c>
      <c r="D100" s="3" t="inlineStr">
        <is>
          <t>Graz</t>
        </is>
      </c>
      <c r="E100" s="10" t="n">
        <v>45666.23584490741</v>
      </c>
      <c r="F100" s="10" t="n">
        <v>45666.24435185185</v>
      </c>
      <c r="G100" s="10" t="n">
        <v>45666.24623842593</v>
      </c>
      <c r="H100" s="3" t="inlineStr">
        <is>
          <t>OBT090125133851-Graz</t>
        </is>
      </c>
      <c r="I100" s="10" t="n">
        <v>45666.56949074074</v>
      </c>
      <c r="J100" s="10" t="n">
        <v>45666.59449074074</v>
      </c>
      <c r="K100" s="10" t="n">
        <v>45666.59449074074</v>
      </c>
      <c r="L100" s="10" t="n">
        <v>45666.59537037037</v>
      </c>
      <c r="M100" s="11">
        <f>IF(AND(ISNUMBER(E100),ISNUMBER(G100)),(G100-E100),"")</f>
        <v/>
      </c>
      <c r="N100" s="11">
        <f>IF(AND(ISNUMBER(G100),ISNUMBER(L100)),(L100-G100),"")</f>
        <v/>
      </c>
      <c r="O100" s="10" t="n">
        <v>45666.27844907407</v>
      </c>
      <c r="P100" s="11">
        <f>IF(AND(ISNUMBER(I100),ISNUMBER(O100)),(I100-O100),"")</f>
        <v/>
      </c>
      <c r="Q100" s="12" t="inlineStr">
        <is>
          <t>WG 1203103 (already coupled to WG 1203101, WG 1203102 from the inbound train) entered track and got secured then waited 6:57:53 for WG 1203704 to get coupled, OBTP started on 13:40:04 finished on 14:16:04 and then left at 14:17:20</t>
        </is>
      </c>
    </row>
    <row r="101">
      <c r="A101" s="3" t="inlineStr">
        <is>
          <t>1203201</t>
        </is>
      </c>
      <c r="B101" s="3" t="inlineStr">
        <is>
          <t>12032</t>
        </is>
      </c>
      <c r="C101" s="9" t="n">
        <v>32</v>
      </c>
      <c r="D101" s="3" t="inlineStr">
        <is>
          <t>Vienna</t>
        </is>
      </c>
      <c r="E101" s="10" t="n">
        <v>45666.24153935185</v>
      </c>
      <c r="F101" s="10" t="n">
        <v>45666.24797453704</v>
      </c>
      <c r="G101" s="10" t="n">
        <v>45666.25005787037</v>
      </c>
      <c r="H101" s="3" t="inlineStr">
        <is>
          <t>OBT090125065110-Vienna</t>
        </is>
      </c>
      <c r="I101" s="10" t="n">
        <v>45666.31111111111</v>
      </c>
      <c r="J101" s="10" t="n">
        <v>45666.33888888889</v>
      </c>
      <c r="K101" s="10" t="n">
        <v>45666.33888888889</v>
      </c>
      <c r="L101" s="10" t="n">
        <v>45666.33979166667</v>
      </c>
      <c r="M101" s="11">
        <f>IF(AND(ISNUMBER(E101),ISNUMBER(G101)),(G101-E101),"")</f>
        <v/>
      </c>
      <c r="N101" s="11">
        <f>IF(AND(ISNUMBER(G101),ISNUMBER(L101)),(L101-G101),"")</f>
        <v/>
      </c>
      <c r="O101" s="10" t="n">
        <v>45666.2855324074</v>
      </c>
      <c r="P101" s="11">
        <f>IF(AND(ISNUMBER(I101),ISNUMBER(O101)),(I101-O101),"")</f>
        <v/>
      </c>
      <c r="Q101" s="12" t="inlineStr">
        <is>
          <t>WG 1203201 (already coupled to WG 1203202, WG 1203203 from the inbound train) entered track and got secured, OBTP started on 07:28:00 finished on 08:08:00 and then left at 08:09:18</t>
        </is>
      </c>
    </row>
    <row r="102">
      <c r="A102" s="3" t="inlineStr">
        <is>
          <t>1203202</t>
        </is>
      </c>
      <c r="B102" s="3" t="inlineStr">
        <is>
          <t>12032</t>
        </is>
      </c>
      <c r="C102" s="9" t="n">
        <v>64</v>
      </c>
      <c r="D102" s="3" t="inlineStr">
        <is>
          <t>Vienna</t>
        </is>
      </c>
      <c r="E102" s="10" t="n">
        <v>45666.24153935185</v>
      </c>
      <c r="F102" s="10" t="n">
        <v>45666.24797453704</v>
      </c>
      <c r="G102" s="10" t="n">
        <v>45666.25005787037</v>
      </c>
      <c r="H102" s="3" t="inlineStr">
        <is>
          <t>OBT090125065110-Vienna</t>
        </is>
      </c>
      <c r="I102" s="10" t="n">
        <v>45666.31111111111</v>
      </c>
      <c r="J102" s="10" t="n">
        <v>45666.33888888889</v>
      </c>
      <c r="K102" s="10" t="n">
        <v>45666.33888888889</v>
      </c>
      <c r="L102" s="10" t="n">
        <v>45666.33979166667</v>
      </c>
      <c r="M102" s="11">
        <f>IF(AND(ISNUMBER(E102),ISNUMBER(G102)),(G102-E102),"")</f>
        <v/>
      </c>
      <c r="N102" s="11">
        <f>IF(AND(ISNUMBER(G102),ISNUMBER(L102)),(L102-G102),"")</f>
        <v/>
      </c>
      <c r="O102" s="10" t="n">
        <v>45666.2855324074</v>
      </c>
      <c r="P102" s="11">
        <f>IF(AND(ISNUMBER(I102),ISNUMBER(O102)),(I102-O102),"")</f>
        <v/>
      </c>
      <c r="Q102" s="12" t="inlineStr">
        <is>
          <t>WG 1203202 (already coupled to WG 1203201, WG 1203203 from the inbound train) entered track and got secured, OBTP started on 07:28:00 finished on 08:08:00 and then left at 08:09:18</t>
        </is>
      </c>
    </row>
    <row r="103">
      <c r="A103" s="3" t="inlineStr">
        <is>
          <t>1203203</t>
        </is>
      </c>
      <c r="B103" s="3" t="inlineStr">
        <is>
          <t>12032</t>
        </is>
      </c>
      <c r="C103" s="9" t="n">
        <v>64</v>
      </c>
      <c r="D103" s="3" t="inlineStr">
        <is>
          <t>Vienna</t>
        </is>
      </c>
      <c r="E103" s="10" t="n">
        <v>45666.24153935185</v>
      </c>
      <c r="F103" s="10" t="n">
        <v>45666.24797453704</v>
      </c>
      <c r="G103" s="10" t="n">
        <v>45666.25005787037</v>
      </c>
      <c r="H103" s="3" t="inlineStr">
        <is>
          <t>OBT090125065110-Vienna</t>
        </is>
      </c>
      <c r="I103" s="10" t="n">
        <v>45666.31111111111</v>
      </c>
      <c r="J103" s="10" t="n">
        <v>45666.33888888889</v>
      </c>
      <c r="K103" s="10" t="n">
        <v>45666.33888888889</v>
      </c>
      <c r="L103" s="10" t="n">
        <v>45666.33979166667</v>
      </c>
      <c r="M103" s="11">
        <f>IF(AND(ISNUMBER(E103),ISNUMBER(G103)),(G103-E103),"")</f>
        <v/>
      </c>
      <c r="N103" s="11">
        <f>IF(AND(ISNUMBER(G103),ISNUMBER(L103)),(L103-G103),"")</f>
        <v/>
      </c>
      <c r="O103" s="10" t="n">
        <v>45666.2855324074</v>
      </c>
      <c r="P103" s="11">
        <f>IF(AND(ISNUMBER(I103),ISNUMBER(O103)),(I103-O103),"")</f>
        <v/>
      </c>
      <c r="Q103" s="12" t="inlineStr">
        <is>
          <t>WG 1203203 (already coupled to WG 1203201, WG 1203202 from the inbound train) entered track and got secured, OBTP started on 07:28:00 finished on 08:08:00 and then left at 08:09:18</t>
        </is>
      </c>
    </row>
    <row r="104">
      <c r="A104" s="3" t="inlineStr">
        <is>
          <t>1203301</t>
        </is>
      </c>
      <c r="B104" s="3" t="inlineStr">
        <is>
          <t>12033</t>
        </is>
      </c>
      <c r="C104" s="9" t="n">
        <v>80</v>
      </c>
      <c r="D104" s="3" t="inlineStr">
        <is>
          <t>Vienna</t>
        </is>
      </c>
      <c r="E104" s="10" t="n">
        <v>45666.24600694444</v>
      </c>
      <c r="F104" s="10" t="n">
        <v>45666.2529050926</v>
      </c>
      <c r="G104" s="10" t="n">
        <v>45666.2546412037</v>
      </c>
      <c r="H104" s="3" t="inlineStr">
        <is>
          <t>OBT090125064941-Vienna</t>
        </is>
      </c>
      <c r="I104" s="10" t="n">
        <v>45666.28721064814</v>
      </c>
      <c r="J104" s="10" t="n">
        <v>45666.30943287037</v>
      </c>
      <c r="K104" s="10" t="n">
        <v>45666.30943287037</v>
      </c>
      <c r="L104" s="10" t="n">
        <v>45666.31032407407</v>
      </c>
      <c r="M104" s="11">
        <f>IF(AND(ISNUMBER(E104),ISNUMBER(G104)),(G104-E104),"")</f>
        <v/>
      </c>
      <c r="N104" s="11">
        <f>IF(AND(ISNUMBER(G104),ISNUMBER(L104)),(L104-G104),"")</f>
        <v/>
      </c>
      <c r="O104" s="10" t="n">
        <v>45666.2774537037</v>
      </c>
      <c r="P104" s="11">
        <f>IF(AND(ISNUMBER(I104),ISNUMBER(O104)),(I104-O104),"")</f>
        <v/>
      </c>
      <c r="Q104" s="12" t="inlineStr">
        <is>
          <t>WG 1203301 entered track and got secured then waited 0:10:09 for WG 1203303 to get coupled, OBTP started on 06:53:35 finished on 07:25:35 and then left at 07:26:52</t>
        </is>
      </c>
    </row>
    <row r="105">
      <c r="A105" s="3" t="inlineStr">
        <is>
          <t>1203302</t>
        </is>
      </c>
      <c r="B105" s="3" t="inlineStr">
        <is>
          <t>12033</t>
        </is>
      </c>
      <c r="C105" s="9" t="n">
        <v>48</v>
      </c>
      <c r="D105" s="3" t="inlineStr">
        <is>
          <t>Innsbruck</t>
        </is>
      </c>
      <c r="E105" s="10" t="n">
        <v>45666.24600694444</v>
      </c>
      <c r="F105" s="10" t="n">
        <v>45666.2546412037</v>
      </c>
      <c r="G105" s="10" t="n">
        <v>45666.25641203704</v>
      </c>
      <c r="H105" s="3" t="inlineStr">
        <is>
          <t>OBT100125165112-Innsbruck</t>
        </is>
      </c>
      <c r="I105" s="10" t="n">
        <v>45667.70305555555</v>
      </c>
      <c r="J105" s="10" t="n">
        <v>45667.73083333333</v>
      </c>
      <c r="K105" s="10" t="n">
        <v>45667.73083333333</v>
      </c>
      <c r="L105" s="10" t="n">
        <v>45667.73171296297</v>
      </c>
      <c r="M105" s="11">
        <f>IF(AND(ISNUMBER(E105),ISNUMBER(G105)),(G105-E105),"")</f>
        <v/>
      </c>
      <c r="N105" s="11">
        <f>IF(AND(ISNUMBER(G105),ISNUMBER(L105)),(L105-G105),"")</f>
        <v/>
      </c>
      <c r="O105" s="10" t="n">
        <v>45666.27650462963</v>
      </c>
      <c r="P105" s="11">
        <f>IF(AND(ISNUMBER(I105),ISNUMBER(O105)),(I105-O105),"")</f>
        <v/>
      </c>
      <c r="Q105" s="12" t="inlineStr">
        <is>
          <t>WG 1203302 entered track and got secured then waited 24:50:09 for WG 1204403 to get coupled then waited 9:22:53 for WG 1205202 to get coupled, OBTP started on 16:52:24 finished on 17:32:24 and then left at 17:33:40</t>
        </is>
      </c>
    </row>
    <row r="106">
      <c r="A106" s="3" t="inlineStr">
        <is>
          <t>1203303</t>
        </is>
      </c>
      <c r="B106" s="3" t="inlineStr">
        <is>
          <t>12033</t>
        </is>
      </c>
      <c r="C106" s="9" t="n">
        <v>48</v>
      </c>
      <c r="D106" s="3" t="inlineStr">
        <is>
          <t>Vienna</t>
        </is>
      </c>
      <c r="E106" s="10" t="n">
        <v>45666.24600694444</v>
      </c>
      <c r="F106" s="10" t="n">
        <v>45666.25641203704</v>
      </c>
      <c r="G106" s="10" t="n">
        <v>45666.25806712963</v>
      </c>
      <c r="H106" s="3" t="inlineStr">
        <is>
          <t>OBT090125064941-Vienna</t>
        </is>
      </c>
      <c r="I106" s="10" t="n">
        <v>45666.28721064814</v>
      </c>
      <c r="J106" s="10" t="n">
        <v>45666.30943287037</v>
      </c>
      <c r="K106" s="10" t="n">
        <v>45666.30943287037</v>
      </c>
      <c r="L106" s="10" t="n">
        <v>45666.31032407407</v>
      </c>
      <c r="M106" s="11">
        <f>IF(AND(ISNUMBER(E106),ISNUMBER(G106)),(G106-E106),"")</f>
        <v/>
      </c>
      <c r="N106" s="11">
        <f>IF(AND(ISNUMBER(G106),ISNUMBER(L106)),(L106-G106),"")</f>
        <v/>
      </c>
      <c r="O106" s="10" t="n">
        <v>45666.28450231482</v>
      </c>
      <c r="P106" s="11">
        <f>IF(AND(ISNUMBER(I106),ISNUMBER(O106)),(I106-O106),"")</f>
        <v/>
      </c>
      <c r="Q106" s="12" t="inlineStr">
        <is>
          <t>WG 1203303 entered track and got coupled to WG 1203301, OBTP started on 06:53:35 finished on 07:25:35 and then left at 07:26:52</t>
        </is>
      </c>
    </row>
    <row r="107">
      <c r="A107" s="3" t="inlineStr">
        <is>
          <t>1203401</t>
        </is>
      </c>
      <c r="B107" s="3" t="inlineStr">
        <is>
          <t>12034</t>
        </is>
      </c>
      <c r="C107" s="9" t="n">
        <v>64</v>
      </c>
      <c r="D107" s="3" t="inlineStr">
        <is>
          <t>Budapest</t>
        </is>
      </c>
      <c r="E107" s="10" t="n">
        <v>45666.45989583333</v>
      </c>
      <c r="F107" s="10" t="n">
        <v>45666.46582175926</v>
      </c>
      <c r="G107" s="10" t="n">
        <v>45666.46722222222</v>
      </c>
      <c r="H107" s="3" t="inlineStr">
        <is>
          <t>OBT090125113246-Budapest</t>
        </is>
      </c>
      <c r="I107" s="10" t="n">
        <v>45666.48195601852</v>
      </c>
      <c r="J107" s="10" t="n">
        <v>45666.50417824074</v>
      </c>
      <c r="K107" s="10" t="n">
        <v>45666.50417824074</v>
      </c>
      <c r="L107" s="10" t="n">
        <v>45666.50494212963</v>
      </c>
      <c r="M107" s="11">
        <f>IF(AND(ISNUMBER(E107),ISNUMBER(G107)),(G107-E107),"")</f>
        <v/>
      </c>
      <c r="N107" s="11">
        <f>IF(AND(ISNUMBER(G107),ISNUMBER(L107)),(L107-G107),"")</f>
        <v/>
      </c>
      <c r="O107" s="10" t="n">
        <v>45666.48108796297</v>
      </c>
      <c r="P107" s="11">
        <f>IF(AND(ISNUMBER(I107),ISNUMBER(O107)),(I107-O107),"")</f>
        <v/>
      </c>
      <c r="Q107" s="12" t="inlineStr">
        <is>
          <t>WG 1203401 (already coupled to WG 1203402, WG 1203403 from the inbound train) entered track and got secured, OBTP started on 11:34:01 finished on 12:06:01 and then left at 12:07:07</t>
        </is>
      </c>
    </row>
    <row r="108">
      <c r="A108" s="3" t="inlineStr">
        <is>
          <t>1203402</t>
        </is>
      </c>
      <c r="B108" s="3" t="inlineStr">
        <is>
          <t>12034</t>
        </is>
      </c>
      <c r="C108" s="9" t="n">
        <v>32</v>
      </c>
      <c r="D108" s="3" t="inlineStr">
        <is>
          <t>Budapest</t>
        </is>
      </c>
      <c r="E108" s="10" t="n">
        <v>45666.45989583333</v>
      </c>
      <c r="F108" s="10" t="n">
        <v>45666.46582175926</v>
      </c>
      <c r="G108" s="10" t="n">
        <v>45666.46722222222</v>
      </c>
      <c r="H108" s="3" t="inlineStr">
        <is>
          <t>OBT090125113246-Budapest</t>
        </is>
      </c>
      <c r="I108" s="10" t="n">
        <v>45666.48195601852</v>
      </c>
      <c r="J108" s="10" t="n">
        <v>45666.50417824074</v>
      </c>
      <c r="K108" s="10" t="n">
        <v>45666.50417824074</v>
      </c>
      <c r="L108" s="10" t="n">
        <v>45666.50494212963</v>
      </c>
      <c r="M108" s="11">
        <f>IF(AND(ISNUMBER(E108),ISNUMBER(G108)),(G108-E108),"")</f>
        <v/>
      </c>
      <c r="N108" s="11">
        <f>IF(AND(ISNUMBER(G108),ISNUMBER(L108)),(L108-G108),"")</f>
        <v/>
      </c>
      <c r="O108" s="10" t="n">
        <v>45666.48108796297</v>
      </c>
      <c r="P108" s="11">
        <f>IF(AND(ISNUMBER(I108),ISNUMBER(O108)),(I108-O108),"")</f>
        <v/>
      </c>
      <c r="Q108" s="12" t="inlineStr">
        <is>
          <t>WG 1203402 (already coupled to WG 1203401, WG 1203403 from the inbound train) entered track and got secured, OBTP started on 11:34:01 finished on 12:06:01 and then left at 12:07:07</t>
        </is>
      </c>
    </row>
    <row r="109">
      <c r="A109" s="3" t="inlineStr">
        <is>
          <t>1203403</t>
        </is>
      </c>
      <c r="B109" s="3" t="inlineStr">
        <is>
          <t>12034</t>
        </is>
      </c>
      <c r="C109" s="9" t="n">
        <v>32</v>
      </c>
      <c r="D109" s="3" t="inlineStr">
        <is>
          <t>Budapest</t>
        </is>
      </c>
      <c r="E109" s="10" t="n">
        <v>45666.45989583333</v>
      </c>
      <c r="F109" s="10" t="n">
        <v>45666.46582175926</v>
      </c>
      <c r="G109" s="10" t="n">
        <v>45666.46722222222</v>
      </c>
      <c r="H109" s="3" t="inlineStr">
        <is>
          <t>OBT090125113246-Budapest</t>
        </is>
      </c>
      <c r="I109" s="10" t="n">
        <v>45666.48195601852</v>
      </c>
      <c r="J109" s="10" t="n">
        <v>45666.50417824074</v>
      </c>
      <c r="K109" s="10" t="n">
        <v>45666.50417824074</v>
      </c>
      <c r="L109" s="10" t="n">
        <v>45666.50494212963</v>
      </c>
      <c r="M109" s="11">
        <f>IF(AND(ISNUMBER(E109),ISNUMBER(G109)),(G109-E109),"")</f>
        <v/>
      </c>
      <c r="N109" s="11">
        <f>IF(AND(ISNUMBER(G109),ISNUMBER(L109)),(L109-G109),"")</f>
        <v/>
      </c>
      <c r="O109" s="10" t="n">
        <v>45666.48108796297</v>
      </c>
      <c r="P109" s="11">
        <f>IF(AND(ISNUMBER(I109),ISNUMBER(O109)),(I109-O109),"")</f>
        <v/>
      </c>
      <c r="Q109" s="12" t="inlineStr">
        <is>
          <t>WG 1203403 (already coupled to WG 1203401, WG 1203402 from the inbound train) entered track and got secured, OBTP started on 11:34:01 finished on 12:06:01 and then left at 12:07:07</t>
        </is>
      </c>
    </row>
    <row r="110">
      <c r="A110" s="3" t="inlineStr">
        <is>
          <t>1203404</t>
        </is>
      </c>
      <c r="B110" s="3" t="inlineStr">
        <is>
          <t>12034</t>
        </is>
      </c>
      <c r="C110" s="9" t="n">
        <v>48</v>
      </c>
      <c r="D110" s="3" t="inlineStr">
        <is>
          <t>Salzburg</t>
        </is>
      </c>
      <c r="E110" s="10" t="n">
        <v>45666.45989583333</v>
      </c>
      <c r="F110" s="10" t="n">
        <v>45666.46722222222</v>
      </c>
      <c r="G110" s="10" t="n">
        <v>45666.46854166667</v>
      </c>
      <c r="H110" s="3" t="inlineStr">
        <is>
          <t>OBT090125114855-Salzburg</t>
        </is>
      </c>
      <c r="I110" s="10" t="n">
        <v>45666.49313657408</v>
      </c>
      <c r="J110" s="10" t="n">
        <v>45666.52924768518</v>
      </c>
      <c r="K110" s="10" t="n">
        <v>45666.52924768518</v>
      </c>
      <c r="L110" s="10" t="n">
        <v>45666.53016203704</v>
      </c>
      <c r="M110" s="11">
        <f>IF(AND(ISNUMBER(E110),ISNUMBER(G110)),(G110-E110),"")</f>
        <v/>
      </c>
      <c r="N110" s="11">
        <f>IF(AND(ISNUMBER(G110),ISNUMBER(L110)),(L110-G110),"")</f>
        <v/>
      </c>
      <c r="O110" s="10" t="n">
        <v>45666.47376157407</v>
      </c>
      <c r="P110" s="11">
        <f>IF(AND(ISNUMBER(I110),ISNUMBER(O110)),(I110-O110),"")</f>
        <v/>
      </c>
      <c r="Q110" s="12" t="inlineStr">
        <is>
          <t>WG 1203404 entered track and got secured then waited 0:07:29 for WG 1203501 to get coupled then waited 0:19:13 for cut 1203503+1203504 to get coupled, OBTP started on 11:50:07 finished on 12:42:07 and then left at 12:43:26</t>
        </is>
      </c>
    </row>
    <row r="111">
      <c r="A111" s="3" t="inlineStr">
        <is>
          <t>1203501</t>
        </is>
      </c>
      <c r="B111" s="3" t="inlineStr">
        <is>
          <t>12035</t>
        </is>
      </c>
      <c r="C111" s="9" t="n">
        <v>48</v>
      </c>
      <c r="D111" s="3" t="inlineStr">
        <is>
          <t>Salzburg</t>
        </is>
      </c>
      <c r="E111" s="10" t="n">
        <v>45666.46037037037</v>
      </c>
      <c r="F111" s="10" t="n">
        <v>45666.46940972222</v>
      </c>
      <c r="G111" s="10" t="n">
        <v>45666.47076388889</v>
      </c>
      <c r="H111" s="3" t="inlineStr">
        <is>
          <t>OBT090125114855-Salzburg</t>
        </is>
      </c>
      <c r="I111" s="10" t="n">
        <v>45666.49313657408</v>
      </c>
      <c r="J111" s="10" t="n">
        <v>45666.52924768518</v>
      </c>
      <c r="K111" s="10" t="n">
        <v>45666.52924768518</v>
      </c>
      <c r="L111" s="10" t="n">
        <v>45666.53016203704</v>
      </c>
      <c r="M111" s="11">
        <f>IF(AND(ISNUMBER(E111),ISNUMBER(G111)),(G111-E111),"")</f>
        <v/>
      </c>
      <c r="N111" s="11">
        <f>IF(AND(ISNUMBER(G111),ISNUMBER(L111)),(L111-G111),"")</f>
        <v/>
      </c>
      <c r="O111" s="10" t="n">
        <v>45666.47895833333</v>
      </c>
      <c r="P111" s="11">
        <f>IF(AND(ISNUMBER(I111),ISNUMBER(O111)),(I111-O111),"")</f>
        <v/>
      </c>
      <c r="Q111" s="12" t="inlineStr">
        <is>
          <t>WG 1203501 entered track and got coupled to WG 1203404 then waited 0:19:13 for cut 1203503+1203504 to get coupled, OBTP started on 11:50:07 finished on 12:42:07 and then left at 12:43:26</t>
        </is>
      </c>
    </row>
    <row r="112">
      <c r="A112" s="3" t="inlineStr">
        <is>
          <t>1203502</t>
        </is>
      </c>
      <c r="B112" s="3" t="inlineStr">
        <is>
          <t>12035</t>
        </is>
      </c>
      <c r="C112" s="9" t="n">
        <v>32</v>
      </c>
      <c r="D112" s="3" t="inlineStr">
        <is>
          <t>Linz</t>
        </is>
      </c>
      <c r="E112" s="10" t="n">
        <v>45666.46037037037</v>
      </c>
      <c r="F112" s="10" t="n">
        <v>45666.47076388889</v>
      </c>
      <c r="G112" s="10" t="n">
        <v>45666.47282407407</v>
      </c>
      <c r="H112" s="3" t="inlineStr">
        <is>
          <t>OBT090125135236-Linz</t>
        </is>
      </c>
      <c r="I112" s="10" t="n">
        <v>45666.60576388889</v>
      </c>
      <c r="J112" s="10" t="n">
        <v>45666.62520833333</v>
      </c>
      <c r="K112" s="10" t="n">
        <v>45666.62520833333</v>
      </c>
      <c r="L112" s="10" t="n">
        <v>45666.62597222222</v>
      </c>
      <c r="M112" s="11">
        <f>IF(AND(ISNUMBER(E112),ISNUMBER(G112)),(G112-E112),"")</f>
        <v/>
      </c>
      <c r="N112" s="11">
        <f>IF(AND(ISNUMBER(G112),ISNUMBER(L112)),(L112-G112),"")</f>
        <v/>
      </c>
      <c r="O112" s="10" t="n">
        <v>45666.47657407408</v>
      </c>
      <c r="P112" s="11">
        <f>IF(AND(ISNUMBER(I112),ISNUMBER(O112)),(I112-O112),"")</f>
        <v/>
      </c>
      <c r="Q112" s="12" t="inlineStr">
        <is>
          <t>WG 1203502 entered track and got secured then waited 2:04:17 for WG 1203701 to get coupled then waited 0:22:03 for WG 1203802 to get coupled, OBTP started on 14:32:18 finished on 15:00:18 and then left at 15:01:24</t>
        </is>
      </c>
    </row>
    <row r="113">
      <c r="A113" s="3" t="inlineStr">
        <is>
          <t>1203503</t>
        </is>
      </c>
      <c r="B113" s="3" t="inlineStr">
        <is>
          <t>12035</t>
        </is>
      </c>
      <c r="C113" s="9" t="n">
        <v>64</v>
      </c>
      <c r="D113" s="3" t="inlineStr">
        <is>
          <t>Salzburg</t>
        </is>
      </c>
      <c r="E113" s="10" t="n">
        <v>45666.46037037037</v>
      </c>
      <c r="F113" s="10" t="n">
        <v>45666.47282407407</v>
      </c>
      <c r="G113" s="10" t="n">
        <v>45666.47431712963</v>
      </c>
      <c r="H113" s="3" t="inlineStr">
        <is>
          <t>OBT090125114855-Salzburg</t>
        </is>
      </c>
      <c r="I113" s="10" t="n">
        <v>45666.49313657408</v>
      </c>
      <c r="J113" s="10" t="n">
        <v>45666.52924768518</v>
      </c>
      <c r="K113" s="10" t="n">
        <v>45666.52924768518</v>
      </c>
      <c r="L113" s="10" t="n">
        <v>45666.53016203704</v>
      </c>
      <c r="M113" s="11">
        <f>IF(AND(ISNUMBER(E113),ISNUMBER(G113)),(G113-E113),"")</f>
        <v/>
      </c>
      <c r="N113" s="11">
        <f>IF(AND(ISNUMBER(G113),ISNUMBER(L113)),(L113-G113),"")</f>
        <v/>
      </c>
      <c r="O113" s="10" t="n">
        <v>45666.49230324074</v>
      </c>
      <c r="P113" s="11">
        <f>IF(AND(ISNUMBER(I113),ISNUMBER(O113)),(I113-O113),"")</f>
        <v/>
      </c>
      <c r="Q113" s="12" t="inlineStr">
        <is>
          <t>WG 1203503 (already coupled to WG 1203504 from the inbound train) entered track and got coupled to WG 1203501, OBTP started on 11:50:07 finished on 12:42:07 and then left at 12:43:26</t>
        </is>
      </c>
    </row>
    <row r="114">
      <c r="A114" s="3" t="inlineStr">
        <is>
          <t>1203504</t>
        </is>
      </c>
      <c r="B114" s="3" t="inlineStr">
        <is>
          <t>12035</t>
        </is>
      </c>
      <c r="C114" s="9" t="n">
        <v>48</v>
      </c>
      <c r="D114" s="3" t="inlineStr">
        <is>
          <t>Salzburg</t>
        </is>
      </c>
      <c r="E114" s="10" t="n">
        <v>45666.46037037037</v>
      </c>
      <c r="F114" s="10" t="n">
        <v>45666.47282407407</v>
      </c>
      <c r="G114" s="10" t="n">
        <v>45666.47431712963</v>
      </c>
      <c r="H114" s="3" t="inlineStr">
        <is>
          <t>OBT090125114855-Salzburg</t>
        </is>
      </c>
      <c r="I114" s="10" t="n">
        <v>45666.49313657408</v>
      </c>
      <c r="J114" s="10" t="n">
        <v>45666.52924768518</v>
      </c>
      <c r="K114" s="10" t="n">
        <v>45666.52924768518</v>
      </c>
      <c r="L114" s="10" t="n">
        <v>45666.53016203704</v>
      </c>
      <c r="M114" s="11">
        <f>IF(AND(ISNUMBER(E114),ISNUMBER(G114)),(G114-E114),"")</f>
        <v/>
      </c>
      <c r="N114" s="11">
        <f>IF(AND(ISNUMBER(G114),ISNUMBER(L114)),(L114-G114),"")</f>
        <v/>
      </c>
      <c r="O114" s="10" t="n">
        <v>45666.49230324074</v>
      </c>
      <c r="P114" s="11">
        <f>IF(AND(ISNUMBER(I114),ISNUMBER(O114)),(I114-O114),"")</f>
        <v/>
      </c>
      <c r="Q114" s="12" t="inlineStr">
        <is>
          <t>WG 1203504 (already coupled to WG 1203503 from the inbound train) entered track and got coupled to WG 1203501, OBTP started on 11:50:07 finished on 12:42:07 and then left at 12:43:26</t>
        </is>
      </c>
    </row>
    <row r="115">
      <c r="A115" s="3" t="inlineStr">
        <is>
          <t>1203601</t>
        </is>
      </c>
      <c r="B115" s="3" t="inlineStr">
        <is>
          <t>12036</t>
        </is>
      </c>
      <c r="C115" s="9" t="n">
        <v>32</v>
      </c>
      <c r="D115" s="3" t="inlineStr">
        <is>
          <t>Vienna</t>
        </is>
      </c>
      <c r="E115" s="10" t="n">
        <v>45666.54392361111</v>
      </c>
      <c r="F115" s="10" t="n">
        <v>45666.55113425926</v>
      </c>
      <c r="G115" s="10" t="n">
        <v>45666.55244212963</v>
      </c>
      <c r="H115" s="3" t="inlineStr">
        <is>
          <t>OBT090125134430-Vienna</t>
        </is>
      </c>
      <c r="I115" s="10" t="n">
        <v>45666.57422453703</v>
      </c>
      <c r="J115" s="10" t="n">
        <v>45666.6047800926</v>
      </c>
      <c r="K115" s="10" t="n">
        <v>45666.6047800926</v>
      </c>
      <c r="L115" s="10" t="n">
        <v>45666.60565972222</v>
      </c>
      <c r="M115" s="11">
        <f>IF(AND(ISNUMBER(E115),ISNUMBER(G115)),(G115-E115),"")</f>
        <v/>
      </c>
      <c r="N115" s="11">
        <f>IF(AND(ISNUMBER(G115),ISNUMBER(L115)),(L115-G115),"")</f>
        <v/>
      </c>
      <c r="O115" s="10" t="n">
        <v>45666.56143518518</v>
      </c>
      <c r="P115" s="11">
        <f>IF(AND(ISNUMBER(I115),ISNUMBER(O115)),(I115-O115),"")</f>
        <v/>
      </c>
      <c r="Q115" s="12" t="inlineStr">
        <is>
          <t>WG 1203601 (already coupled to WG 1203602 from the inbound train) entered track and got secured then waited 0:16:02 for cut 1203702+1203703 to get coupled, OBTP started on 13:46:53 finished on 14:30:53 and then left at 14:32:09</t>
        </is>
      </c>
    </row>
    <row r="116">
      <c r="A116" s="3" t="inlineStr">
        <is>
          <t>1203602</t>
        </is>
      </c>
      <c r="B116" s="3" t="inlineStr">
        <is>
          <t>12036</t>
        </is>
      </c>
      <c r="C116" s="9" t="n">
        <v>48</v>
      </c>
      <c r="D116" s="3" t="inlineStr">
        <is>
          <t>Vienna</t>
        </is>
      </c>
      <c r="E116" s="10" t="n">
        <v>45666.54392361111</v>
      </c>
      <c r="F116" s="10" t="n">
        <v>45666.55113425926</v>
      </c>
      <c r="G116" s="10" t="n">
        <v>45666.55244212963</v>
      </c>
      <c r="H116" s="3" t="inlineStr">
        <is>
          <t>OBT090125134430-Vienna</t>
        </is>
      </c>
      <c r="I116" s="10" t="n">
        <v>45666.57422453703</v>
      </c>
      <c r="J116" s="10" t="n">
        <v>45666.6047800926</v>
      </c>
      <c r="K116" s="10" t="n">
        <v>45666.6047800926</v>
      </c>
      <c r="L116" s="10" t="n">
        <v>45666.60565972222</v>
      </c>
      <c r="M116" s="11">
        <f>IF(AND(ISNUMBER(E116),ISNUMBER(G116)),(G116-E116),"")</f>
        <v/>
      </c>
      <c r="N116" s="11">
        <f>IF(AND(ISNUMBER(G116),ISNUMBER(L116)),(L116-G116),"")</f>
        <v/>
      </c>
      <c r="O116" s="10" t="n">
        <v>45666.56143518518</v>
      </c>
      <c r="P116" s="11">
        <f>IF(AND(ISNUMBER(I116),ISNUMBER(O116)),(I116-O116),"")</f>
        <v/>
      </c>
      <c r="Q116" s="12" t="inlineStr">
        <is>
          <t>WG 1203602 (already coupled to WG 1203601 from the inbound train) entered track and got secured then waited 0:16:02 for cut 1203702+1203703 to get coupled, OBTP started on 13:46:53 finished on 14:30:53 and then left at 14:32:09</t>
        </is>
      </c>
    </row>
    <row r="117">
      <c r="A117" s="3" t="inlineStr">
        <is>
          <t>1203603</t>
        </is>
      </c>
      <c r="B117" s="3" t="inlineStr">
        <is>
          <t>12036</t>
        </is>
      </c>
      <c r="C117" s="9" t="n">
        <v>80</v>
      </c>
      <c r="D117" s="3" t="inlineStr">
        <is>
          <t>Budapest</t>
        </is>
      </c>
      <c r="E117" s="10" t="n">
        <v>45666.54392361111</v>
      </c>
      <c r="F117" s="10" t="n">
        <v>45666.55244212963</v>
      </c>
      <c r="G117" s="10" t="n">
        <v>45666.55416666667</v>
      </c>
      <c r="H117" s="3" t="inlineStr">
        <is>
          <t>OBT090125134651-Budapest</t>
        </is>
      </c>
      <c r="I117" s="10" t="n">
        <v>45666.59717592593</v>
      </c>
      <c r="J117" s="10" t="n">
        <v>45666.63328703704</v>
      </c>
      <c r="K117" s="10" t="n">
        <v>45666.63328703704</v>
      </c>
      <c r="L117" s="10" t="n">
        <v>45666.63420138889</v>
      </c>
      <c r="M117" s="11">
        <f>IF(AND(ISNUMBER(E117),ISNUMBER(G117)),(G117-E117),"")</f>
        <v/>
      </c>
      <c r="N117" s="11">
        <f>IF(AND(ISNUMBER(G117),ISNUMBER(L117)),(L117-G117),"")</f>
        <v/>
      </c>
      <c r="O117" s="10" t="n">
        <v>45666.57420138889</v>
      </c>
      <c r="P117" s="11">
        <f>IF(AND(ISNUMBER(I117),ISNUMBER(O117)),(I117-O117),"")</f>
        <v/>
      </c>
      <c r="Q117" s="12" t="inlineStr">
        <is>
          <t>WG 1203603 (already coupled to WG 1203604, WG 1203605 from the inbound train) entered track and got secured, OBTP started on 14:19:56 finished on 15:11:56 and then left at 15:13:15</t>
        </is>
      </c>
    </row>
    <row r="118">
      <c r="A118" s="3" t="inlineStr">
        <is>
          <t>1203604</t>
        </is>
      </c>
      <c r="B118" s="3" t="inlineStr">
        <is>
          <t>12036</t>
        </is>
      </c>
      <c r="C118" s="9" t="n">
        <v>64</v>
      </c>
      <c r="D118" s="3" t="inlineStr">
        <is>
          <t>Budapest</t>
        </is>
      </c>
      <c r="E118" s="10" t="n">
        <v>45666.54392361111</v>
      </c>
      <c r="F118" s="10" t="n">
        <v>45666.55244212963</v>
      </c>
      <c r="G118" s="10" t="n">
        <v>45666.55416666667</v>
      </c>
      <c r="H118" s="3" t="inlineStr">
        <is>
          <t>OBT090125134651-Budapest</t>
        </is>
      </c>
      <c r="I118" s="10" t="n">
        <v>45666.59717592593</v>
      </c>
      <c r="J118" s="10" t="n">
        <v>45666.63328703704</v>
      </c>
      <c r="K118" s="10" t="n">
        <v>45666.63328703704</v>
      </c>
      <c r="L118" s="10" t="n">
        <v>45666.63420138889</v>
      </c>
      <c r="M118" s="11">
        <f>IF(AND(ISNUMBER(E118),ISNUMBER(G118)),(G118-E118),"")</f>
        <v/>
      </c>
      <c r="N118" s="11">
        <f>IF(AND(ISNUMBER(G118),ISNUMBER(L118)),(L118-G118),"")</f>
        <v/>
      </c>
      <c r="O118" s="10" t="n">
        <v>45666.57420138889</v>
      </c>
      <c r="P118" s="11">
        <f>IF(AND(ISNUMBER(I118),ISNUMBER(O118)),(I118-O118),"")</f>
        <v/>
      </c>
      <c r="Q118" s="12" t="inlineStr">
        <is>
          <t>WG 1203604 (already coupled to WG 1203603, WG 1203605 from the inbound train) entered track and got secured, OBTP started on 14:19:56 finished on 15:11:56 and then left at 15:13:15</t>
        </is>
      </c>
    </row>
    <row r="119">
      <c r="A119" s="3" t="inlineStr">
        <is>
          <t>1203605</t>
        </is>
      </c>
      <c r="B119" s="3" t="inlineStr">
        <is>
          <t>12036</t>
        </is>
      </c>
      <c r="C119" s="9" t="n">
        <v>64</v>
      </c>
      <c r="D119" s="3" t="inlineStr">
        <is>
          <t>Budapest</t>
        </is>
      </c>
      <c r="E119" s="10" t="n">
        <v>45666.54392361111</v>
      </c>
      <c r="F119" s="10" t="n">
        <v>45666.55244212963</v>
      </c>
      <c r="G119" s="10" t="n">
        <v>45666.55416666667</v>
      </c>
      <c r="H119" s="3" t="inlineStr">
        <is>
          <t>OBT090125134651-Budapest</t>
        </is>
      </c>
      <c r="I119" s="10" t="n">
        <v>45666.59717592593</v>
      </c>
      <c r="J119" s="10" t="n">
        <v>45666.63328703704</v>
      </c>
      <c r="K119" s="10" t="n">
        <v>45666.63328703704</v>
      </c>
      <c r="L119" s="10" t="n">
        <v>45666.63420138889</v>
      </c>
      <c r="M119" s="11">
        <f>IF(AND(ISNUMBER(E119),ISNUMBER(G119)),(G119-E119),"")</f>
        <v/>
      </c>
      <c r="N119" s="11">
        <f>IF(AND(ISNUMBER(G119),ISNUMBER(L119)),(L119-G119),"")</f>
        <v/>
      </c>
      <c r="O119" s="10" t="n">
        <v>45666.57420138889</v>
      </c>
      <c r="P119" s="11">
        <f>IF(AND(ISNUMBER(I119),ISNUMBER(O119)),(I119-O119),"")</f>
        <v/>
      </c>
      <c r="Q119" s="12" t="inlineStr">
        <is>
          <t>WG 1203605 (already coupled to WG 1203603, WG 1203604 from the inbound train) entered track and got secured, OBTP started on 14:19:56 finished on 15:11:56 and then left at 15:13:15</t>
        </is>
      </c>
    </row>
    <row r="120">
      <c r="A120" s="3" t="inlineStr">
        <is>
          <t>1203701</t>
        </is>
      </c>
      <c r="B120" s="3" t="inlineStr">
        <is>
          <t>12037</t>
        </is>
      </c>
      <c r="C120" s="9" t="n">
        <v>32</v>
      </c>
      <c r="D120" s="3" t="inlineStr">
        <is>
          <t>Linz</t>
        </is>
      </c>
      <c r="E120" s="10" t="n">
        <v>45666.54809027778</v>
      </c>
      <c r="F120" s="10" t="n">
        <v>45666.55509259259</v>
      </c>
      <c r="G120" s="10" t="n">
        <v>45666.55712962963</v>
      </c>
      <c r="H120" s="3" t="inlineStr">
        <is>
          <t>OBT090125135236-Linz</t>
        </is>
      </c>
      <c r="I120" s="10" t="n">
        <v>45666.60576388889</v>
      </c>
      <c r="J120" s="10" t="n">
        <v>45666.62520833333</v>
      </c>
      <c r="K120" s="10" t="n">
        <v>45666.62520833333</v>
      </c>
      <c r="L120" s="10" t="n">
        <v>45666.62597222222</v>
      </c>
      <c r="M120" s="11">
        <f>IF(AND(ISNUMBER(E120),ISNUMBER(G120)),(G120-E120),"")</f>
        <v/>
      </c>
      <c r="N120" s="11">
        <f>IF(AND(ISNUMBER(G120),ISNUMBER(L120)),(L120-G120),"")</f>
        <v/>
      </c>
      <c r="O120" s="10" t="n">
        <v>45666.56288194445</v>
      </c>
      <c r="P120" s="11">
        <f>IF(AND(ISNUMBER(I120),ISNUMBER(O120)),(I120-O120),"")</f>
        <v/>
      </c>
      <c r="Q120" s="12" t="inlineStr">
        <is>
          <t>WG 1203701 entered track and got coupled to WG 1203502 then waited 0:22:03 for WG 1203802 to get coupled, OBTP started on 14:32:18 finished on 15:00:18 and then left at 15:01:24</t>
        </is>
      </c>
    </row>
    <row r="121">
      <c r="A121" s="3" t="inlineStr">
        <is>
          <t>1203702</t>
        </is>
      </c>
      <c r="B121" s="3" t="inlineStr">
        <is>
          <t>12037</t>
        </is>
      </c>
      <c r="C121" s="9" t="n">
        <v>48</v>
      </c>
      <c r="D121" s="3" t="inlineStr">
        <is>
          <t>Vienna</t>
        </is>
      </c>
      <c r="E121" s="10" t="n">
        <v>45666.54809027778</v>
      </c>
      <c r="F121" s="10" t="n">
        <v>45666.55712962963</v>
      </c>
      <c r="G121" s="10" t="n">
        <v>45666.55844907407</v>
      </c>
      <c r="H121" s="3" t="inlineStr">
        <is>
          <t>OBT090125134430-Vienna</t>
        </is>
      </c>
      <c r="I121" s="10" t="n">
        <v>45666.57422453703</v>
      </c>
      <c r="J121" s="10" t="n">
        <v>45666.6047800926</v>
      </c>
      <c r="K121" s="10" t="n">
        <v>45666.6047800926</v>
      </c>
      <c r="L121" s="10" t="n">
        <v>45666.60565972222</v>
      </c>
      <c r="M121" s="11">
        <f>IF(AND(ISNUMBER(E121),ISNUMBER(G121)),(G121-E121),"")</f>
        <v/>
      </c>
      <c r="N121" s="11">
        <f>IF(AND(ISNUMBER(G121),ISNUMBER(L121)),(L121-G121),"")</f>
        <v/>
      </c>
      <c r="O121" s="10" t="n">
        <v>45666.57256944444</v>
      </c>
      <c r="P121" s="11">
        <f>IF(AND(ISNUMBER(I121),ISNUMBER(O121)),(I121-O121),"")</f>
        <v/>
      </c>
      <c r="Q121" s="12" t="inlineStr">
        <is>
          <t>WG 1203702 (already coupled to WG 1203703 from the inbound train) entered track and got coupled to cut 1203601+1203602, OBTP started on 13:46:53 finished on 14:30:53 and then left at 14:32:09</t>
        </is>
      </c>
    </row>
    <row r="122">
      <c r="A122" s="3" t="inlineStr">
        <is>
          <t>1203703</t>
        </is>
      </c>
      <c r="B122" s="3" t="inlineStr">
        <is>
          <t>12037</t>
        </is>
      </c>
      <c r="C122" s="9" t="n">
        <v>48</v>
      </c>
      <c r="D122" s="3" t="inlineStr">
        <is>
          <t>Vienna</t>
        </is>
      </c>
      <c r="E122" s="10" t="n">
        <v>45666.54809027778</v>
      </c>
      <c r="F122" s="10" t="n">
        <v>45666.55712962963</v>
      </c>
      <c r="G122" s="10" t="n">
        <v>45666.55844907407</v>
      </c>
      <c r="H122" s="3" t="inlineStr">
        <is>
          <t>OBT090125134430-Vienna</t>
        </is>
      </c>
      <c r="I122" s="10" t="n">
        <v>45666.57422453703</v>
      </c>
      <c r="J122" s="10" t="n">
        <v>45666.6047800926</v>
      </c>
      <c r="K122" s="10" t="n">
        <v>45666.6047800926</v>
      </c>
      <c r="L122" s="10" t="n">
        <v>45666.60565972222</v>
      </c>
      <c r="M122" s="11">
        <f>IF(AND(ISNUMBER(E122),ISNUMBER(G122)),(G122-E122),"")</f>
        <v/>
      </c>
      <c r="N122" s="11">
        <f>IF(AND(ISNUMBER(G122),ISNUMBER(L122)),(L122-G122),"")</f>
        <v/>
      </c>
      <c r="O122" s="10" t="n">
        <v>45666.57256944444</v>
      </c>
      <c r="P122" s="11">
        <f>IF(AND(ISNUMBER(I122),ISNUMBER(O122)),(I122-O122),"")</f>
        <v/>
      </c>
      <c r="Q122" s="12" t="inlineStr">
        <is>
          <t>WG 1203703 (already coupled to WG 1203702 from the inbound train) entered track and got coupled to cut 1203601+1203602, OBTP started on 13:46:53 finished on 14:30:53 and then left at 14:32:09</t>
        </is>
      </c>
    </row>
    <row r="123">
      <c r="A123" s="3" t="inlineStr">
        <is>
          <t>1203704</t>
        </is>
      </c>
      <c r="B123" s="3" t="inlineStr">
        <is>
          <t>12037</t>
        </is>
      </c>
      <c r="C123" s="9" t="n">
        <v>48</v>
      </c>
      <c r="D123" s="3" t="inlineStr">
        <is>
          <t>Graz</t>
        </is>
      </c>
      <c r="E123" s="10" t="n">
        <v>45666.54809027778</v>
      </c>
      <c r="F123" s="10" t="n">
        <v>45666.55844907407</v>
      </c>
      <c r="G123" s="10" t="n">
        <v>45666.56043981481</v>
      </c>
      <c r="H123" s="3" t="inlineStr">
        <is>
          <t>OBT090125133851-Graz</t>
        </is>
      </c>
      <c r="I123" s="10" t="n">
        <v>45666.56949074074</v>
      </c>
      <c r="J123" s="10" t="n">
        <v>45666.59449074074</v>
      </c>
      <c r="K123" s="10" t="n">
        <v>45666.59449074074</v>
      </c>
      <c r="L123" s="10" t="n">
        <v>45666.59537037037</v>
      </c>
      <c r="M123" s="11">
        <f>IF(AND(ISNUMBER(E123),ISNUMBER(G123)),(G123-E123),"")</f>
        <v/>
      </c>
      <c r="N123" s="11">
        <f>IF(AND(ISNUMBER(G123),ISNUMBER(L123)),(L123-G123),"")</f>
        <v/>
      </c>
      <c r="O123" s="10" t="n">
        <v>45666.56864583334</v>
      </c>
      <c r="P123" s="11">
        <f>IF(AND(ISNUMBER(I123),ISNUMBER(O123)),(I123-O123),"")</f>
        <v/>
      </c>
      <c r="Q123" s="12" t="inlineStr">
        <is>
          <t>WG 1203704 entered track and got coupled to cut 1203101+1203102+1203103, OBTP started on 13:40:04 finished on 14:16:04 and then left at 14:17:20</t>
        </is>
      </c>
    </row>
    <row r="124">
      <c r="A124" s="3" t="inlineStr">
        <is>
          <t>1203801</t>
        </is>
      </c>
      <c r="B124" s="3" t="inlineStr">
        <is>
          <t>12038</t>
        </is>
      </c>
      <c r="C124" s="9" t="n">
        <v>32</v>
      </c>
      <c r="D124" s="3" t="inlineStr">
        <is>
          <t>Salzburg</t>
        </is>
      </c>
      <c r="E124" s="10" t="n">
        <v>45666.56079861111</v>
      </c>
      <c r="F124" s="10" t="n">
        <v>45666.56612268519</v>
      </c>
      <c r="G124" s="10" t="n">
        <v>45666.56789351852</v>
      </c>
      <c r="H124" s="3" t="inlineStr">
        <is>
          <t>OBT090125232040-Salzburg</t>
        </is>
      </c>
      <c r="I124" s="10" t="n">
        <v>45666.97355324074</v>
      </c>
      <c r="J124" s="10" t="n">
        <v>45667.00688657408</v>
      </c>
      <c r="K124" s="10" t="n">
        <v>45667.00688657408</v>
      </c>
      <c r="L124" s="10" t="n">
        <v>45667.00792824074</v>
      </c>
      <c r="M124" s="11">
        <f>IF(AND(ISNUMBER(E124),ISNUMBER(G124)),(G124-E124),"")</f>
        <v/>
      </c>
      <c r="N124" s="11">
        <f>IF(AND(ISNUMBER(G124),ISNUMBER(L124)),(L124-G124),"")</f>
        <v/>
      </c>
      <c r="O124" s="10" t="n">
        <v>45666.57201388889</v>
      </c>
      <c r="P124" s="11">
        <f>IF(AND(ISNUMBER(I124),ISNUMBER(O124)),(I124-O124),"")</f>
        <v/>
      </c>
      <c r="Q124" s="12" t="inlineStr">
        <is>
          <t>WG 1203801 entered track and got secured then waited 9:36:58 for cut 1204301+1204302+1204303+1204304 to get coupled, OBTP started on 23:21:55 finished on 00:09:55 and then left at 00:11:25</t>
        </is>
      </c>
    </row>
    <row r="125">
      <c r="A125" s="3" t="inlineStr">
        <is>
          <t>1203802</t>
        </is>
      </c>
      <c r="B125" s="3" t="inlineStr">
        <is>
          <t>12038</t>
        </is>
      </c>
      <c r="C125" s="9" t="n">
        <v>48</v>
      </c>
      <c r="D125" s="3" t="inlineStr">
        <is>
          <t>Linz</t>
        </is>
      </c>
      <c r="E125" s="10" t="n">
        <v>45666.56079861111</v>
      </c>
      <c r="F125" s="10" t="n">
        <v>45666.56789351852</v>
      </c>
      <c r="G125" s="10" t="n">
        <v>45666.56998842592</v>
      </c>
      <c r="H125" s="3" t="inlineStr">
        <is>
          <t>OBT090125135236-Linz</t>
        </is>
      </c>
      <c r="I125" s="10" t="n">
        <v>45666.60576388889</v>
      </c>
      <c r="J125" s="10" t="n">
        <v>45666.62520833333</v>
      </c>
      <c r="K125" s="10" t="n">
        <v>45666.62520833333</v>
      </c>
      <c r="L125" s="10" t="n">
        <v>45666.62597222222</v>
      </c>
      <c r="M125" s="11">
        <f>IF(AND(ISNUMBER(E125),ISNUMBER(G125)),(G125-E125),"")</f>
        <v/>
      </c>
      <c r="N125" s="11">
        <f>IF(AND(ISNUMBER(G125),ISNUMBER(L125)),(L125-G125),"")</f>
        <v/>
      </c>
      <c r="O125" s="10" t="n">
        <v>45666.57819444445</v>
      </c>
      <c r="P125" s="11">
        <f>IF(AND(ISNUMBER(I125),ISNUMBER(O125)),(I125-O125),"")</f>
        <v/>
      </c>
      <c r="Q125" s="12" t="inlineStr">
        <is>
          <t>WG 1203802 entered track and got coupled to WG 1203701, OBTP started on 14:32:18 finished on 15:00:18 and then left at 15:01:24</t>
        </is>
      </c>
    </row>
    <row r="126">
      <c r="A126" s="3" t="inlineStr">
        <is>
          <t>1203901</t>
        </is>
      </c>
      <c r="B126" s="3" t="inlineStr">
        <is>
          <t>12039</t>
        </is>
      </c>
      <c r="C126" s="9" t="n">
        <v>80</v>
      </c>
      <c r="D126" s="3" t="inlineStr">
        <is>
          <t>Vienna</t>
        </is>
      </c>
      <c r="E126" s="10" t="n">
        <v>45666.57034722222</v>
      </c>
      <c r="F126" s="10" t="n">
        <v>45666.57655092593</v>
      </c>
      <c r="G126" s="10" t="n">
        <v>45666.57842592592</v>
      </c>
      <c r="H126" s="3" t="inlineStr">
        <is>
          <t>OBT090125142948-Vienna</t>
        </is>
      </c>
      <c r="I126" s="10" t="n">
        <v>45666.62769675926</v>
      </c>
      <c r="J126" s="10" t="n">
        <v>45666.65269675926</v>
      </c>
      <c r="K126" s="10" t="n">
        <v>45666.65269675926</v>
      </c>
      <c r="L126" s="10" t="n">
        <v>45666.65357638889</v>
      </c>
      <c r="M126" s="11">
        <f>IF(AND(ISNUMBER(E126),ISNUMBER(G126)),(G126-E126),"")</f>
        <v/>
      </c>
      <c r="N126" s="11">
        <f>IF(AND(ISNUMBER(G126),ISNUMBER(L126)),(L126-G126),"")</f>
        <v/>
      </c>
      <c r="O126" s="10" t="n">
        <v>45666.58660879629</v>
      </c>
      <c r="P126" s="11">
        <f>IF(AND(ISNUMBER(I126),ISNUMBER(O126)),(I126-O126),"")</f>
        <v/>
      </c>
      <c r="Q126" s="12" t="inlineStr">
        <is>
          <t>WG 1203901 entered track and got secured then waited 0:25:05 for WG 1204002 to get coupled, OBTP started on 15:03:53 finished on 15:39:53 and then left at 15:41:09</t>
        </is>
      </c>
    </row>
    <row r="127">
      <c r="A127" s="3" t="inlineStr">
        <is>
          <t>1203902</t>
        </is>
      </c>
      <c r="B127" s="3" t="inlineStr">
        <is>
          <t>12039</t>
        </is>
      </c>
      <c r="C127" s="9" t="n">
        <v>80</v>
      </c>
      <c r="D127" s="3" t="inlineStr">
        <is>
          <t>Ljubljana</t>
        </is>
      </c>
      <c r="E127" s="10" t="n">
        <v>45666.57034722222</v>
      </c>
      <c r="F127" s="10" t="n">
        <v>45666.57842592592</v>
      </c>
      <c r="G127" s="10" t="n">
        <v>45666.58023148148</v>
      </c>
      <c r="H127" s="3" t="inlineStr">
        <is>
          <t>OBT090125141313-Ljubljana</t>
        </is>
      </c>
      <c r="I127" s="10" t="n">
        <v>45666.6065162037</v>
      </c>
      <c r="J127" s="10" t="n">
        <v>45666.62596064815</v>
      </c>
      <c r="K127" s="10" t="n">
        <v>45666.62597222222</v>
      </c>
      <c r="L127" s="10" t="n">
        <v>45666.62681712963</v>
      </c>
      <c r="M127" s="11">
        <f>IF(AND(ISNUMBER(E127),ISNUMBER(G127)),(G127-E127),"")</f>
        <v/>
      </c>
      <c r="N127" s="11">
        <f>IF(AND(ISNUMBER(G127),ISNUMBER(L127)),(L127-G127),"")</f>
        <v/>
      </c>
      <c r="O127" s="10" t="n">
        <v>45666.59251157408</v>
      </c>
      <c r="P127" s="11">
        <f>IF(AND(ISNUMBER(I127),ISNUMBER(O127)),(I127-O127),"")</f>
        <v/>
      </c>
      <c r="Q127" s="12" t="inlineStr">
        <is>
          <t>WG 1203902 (already coupled to WG 1203903 from the inbound train) entered track and got secured, OBTP started on 14:33:23 finished on 15:01:23 and then left at 15:02:37</t>
        </is>
      </c>
    </row>
    <row r="128">
      <c r="A128" s="3" t="inlineStr">
        <is>
          <t>1203903</t>
        </is>
      </c>
      <c r="B128" s="3" t="inlineStr">
        <is>
          <t>12039</t>
        </is>
      </c>
      <c r="C128" s="9" t="n">
        <v>32</v>
      </c>
      <c r="D128" s="3" t="inlineStr">
        <is>
          <t>Ljubljana</t>
        </is>
      </c>
      <c r="E128" s="10" t="n">
        <v>45666.57034722222</v>
      </c>
      <c r="F128" s="10" t="n">
        <v>45666.57842592592</v>
      </c>
      <c r="G128" s="10" t="n">
        <v>45666.58023148148</v>
      </c>
      <c r="H128" s="3" t="inlineStr">
        <is>
          <t>OBT090125141313-Ljubljana</t>
        </is>
      </c>
      <c r="I128" s="10" t="n">
        <v>45666.6065162037</v>
      </c>
      <c r="J128" s="10" t="n">
        <v>45666.62596064815</v>
      </c>
      <c r="K128" s="10" t="n">
        <v>45666.62597222222</v>
      </c>
      <c r="L128" s="10" t="n">
        <v>45666.62681712963</v>
      </c>
      <c r="M128" s="11">
        <f>IF(AND(ISNUMBER(E128),ISNUMBER(G128)),(G128-E128),"")</f>
        <v/>
      </c>
      <c r="N128" s="11">
        <f>IF(AND(ISNUMBER(G128),ISNUMBER(L128)),(L128-G128),"")</f>
        <v/>
      </c>
      <c r="O128" s="10" t="n">
        <v>45666.59251157408</v>
      </c>
      <c r="P128" s="11">
        <f>IF(AND(ISNUMBER(I128),ISNUMBER(O128)),(I128-O128),"")</f>
        <v/>
      </c>
      <c r="Q128" s="12" t="inlineStr">
        <is>
          <t>WG 1203903 (already coupled to WG 1203902 from the inbound train) entered track and got secured, OBTP started on 14:33:23 finished on 15:01:23 and then left at 15:02:37</t>
        </is>
      </c>
    </row>
    <row r="129">
      <c r="A129" s="3" t="inlineStr">
        <is>
          <t>1204001</t>
        </is>
      </c>
      <c r="B129" s="3" t="inlineStr">
        <is>
          <t>12040</t>
        </is>
      </c>
      <c r="C129" s="9" t="n">
        <v>80</v>
      </c>
      <c r="D129" s="3" t="inlineStr">
        <is>
          <t>Graz</t>
        </is>
      </c>
      <c r="E129" s="10" t="n">
        <v>45666.57842592592</v>
      </c>
      <c r="F129" s="10" t="n">
        <v>45666.5856712963</v>
      </c>
      <c r="G129" s="10" t="n">
        <v>45666.58732638889</v>
      </c>
      <c r="H129" s="3" t="inlineStr">
        <is>
          <t>OBT090125142902-Graz</t>
        </is>
      </c>
      <c r="I129" s="10" t="n">
        <v>45666.62694444445</v>
      </c>
      <c r="J129" s="10" t="n">
        <v>45666.64916666667</v>
      </c>
      <c r="K129" s="10" t="n">
        <v>45666.64916666667</v>
      </c>
      <c r="L129" s="10" t="n">
        <v>45666.65</v>
      </c>
      <c r="M129" s="11">
        <f>IF(AND(ISNUMBER(E129),ISNUMBER(G129)),(G129-E129),"")</f>
        <v/>
      </c>
      <c r="N129" s="11">
        <f>IF(AND(ISNUMBER(G129),ISNUMBER(L129)),(L129-G129),"")</f>
        <v/>
      </c>
      <c r="O129" s="10" t="n">
        <v>45666.59555555556</v>
      </c>
      <c r="P129" s="11">
        <f>IF(AND(ISNUMBER(I129),ISNUMBER(O129)),(I129-O129),"")</f>
        <v/>
      </c>
      <c r="Q129" s="12" t="inlineStr">
        <is>
          <t>WG 1204001 entered track and got secured then waited 0:11:26 for WG 1204003 to get coupled, OBTP started on 15:02:48 finished on 15:34:48 and then left at 15:36:00</t>
        </is>
      </c>
    </row>
    <row r="130">
      <c r="A130" s="3" t="inlineStr">
        <is>
          <t>1204002</t>
        </is>
      </c>
      <c r="B130" s="3" t="inlineStr">
        <is>
          <t>12040</t>
        </is>
      </c>
      <c r="C130" s="9" t="n">
        <v>64</v>
      </c>
      <c r="D130" s="3" t="inlineStr">
        <is>
          <t>Vienna</t>
        </is>
      </c>
      <c r="E130" s="10" t="n">
        <v>45666.57842592592</v>
      </c>
      <c r="F130" s="10" t="n">
        <v>45666.58732638889</v>
      </c>
      <c r="G130" s="10" t="n">
        <v>45666.58918981482</v>
      </c>
      <c r="H130" s="3" t="inlineStr">
        <is>
          <t>OBT090125142948-Vienna</t>
        </is>
      </c>
      <c r="I130" s="10" t="n">
        <v>45666.62769675926</v>
      </c>
      <c r="J130" s="10" t="n">
        <v>45666.65269675926</v>
      </c>
      <c r="K130" s="10" t="n">
        <v>45666.65269675926</v>
      </c>
      <c r="L130" s="10" t="n">
        <v>45666.65357638889</v>
      </c>
      <c r="M130" s="11">
        <f>IF(AND(ISNUMBER(E130),ISNUMBER(G130)),(G130-E130),"")</f>
        <v/>
      </c>
      <c r="N130" s="11">
        <f>IF(AND(ISNUMBER(G130),ISNUMBER(L130)),(L130-G130),"")</f>
        <v/>
      </c>
      <c r="O130" s="10" t="n">
        <v>45666.60402777778</v>
      </c>
      <c r="P130" s="11">
        <f>IF(AND(ISNUMBER(I130),ISNUMBER(O130)),(I130-O130),"")</f>
        <v/>
      </c>
      <c r="Q130" s="12" t="inlineStr">
        <is>
          <t>WG 1204002 entered track and got coupled to WG 1203901, OBTP started on 15:03:53 finished on 15:39:53 and then left at 15:41:09</t>
        </is>
      </c>
    </row>
    <row r="131">
      <c r="A131" s="3" t="inlineStr">
        <is>
          <t>1204003</t>
        </is>
      </c>
      <c r="B131" s="3" t="inlineStr">
        <is>
          <t>12040</t>
        </is>
      </c>
      <c r="C131" s="9" t="n">
        <v>48</v>
      </c>
      <c r="D131" s="3" t="inlineStr">
        <is>
          <t>Graz</t>
        </is>
      </c>
      <c r="E131" s="10" t="n">
        <v>45666.57842592592</v>
      </c>
      <c r="F131" s="10" t="n">
        <v>45666.58918981482</v>
      </c>
      <c r="G131" s="10" t="n">
        <v>45666.59076388889</v>
      </c>
      <c r="H131" s="3" t="inlineStr">
        <is>
          <t>OBT090125142902-Graz</t>
        </is>
      </c>
      <c r="I131" s="10" t="n">
        <v>45666.62694444445</v>
      </c>
      <c r="J131" s="10" t="n">
        <v>45666.64916666667</v>
      </c>
      <c r="K131" s="10" t="n">
        <v>45666.64916666667</v>
      </c>
      <c r="L131" s="10" t="n">
        <v>45666.65</v>
      </c>
      <c r="M131" s="11">
        <f>IF(AND(ISNUMBER(E131),ISNUMBER(G131)),(G131-E131),"")</f>
        <v/>
      </c>
      <c r="N131" s="11">
        <f>IF(AND(ISNUMBER(G131),ISNUMBER(L131)),(L131-G131),"")</f>
        <v/>
      </c>
      <c r="O131" s="10" t="n">
        <v>45666.60349537037</v>
      </c>
      <c r="P131" s="11">
        <f>IF(AND(ISNUMBER(I131),ISNUMBER(O131)),(I131-O131),"")</f>
        <v/>
      </c>
      <c r="Q131" s="12" t="inlineStr">
        <is>
          <t>WG 1204003 entered track and got coupled to WG 1204001, OBTP started on 15:02:48 finished on 15:34:48 and then left at 15:36:00</t>
        </is>
      </c>
    </row>
    <row r="132">
      <c r="A132" s="3" t="inlineStr">
        <is>
          <t>1204101</t>
        </is>
      </c>
      <c r="B132" s="3" t="inlineStr">
        <is>
          <t>12041</t>
        </is>
      </c>
      <c r="C132" s="9" t="n">
        <v>80</v>
      </c>
      <c r="D132" s="3" t="inlineStr">
        <is>
          <t>Budapest</t>
        </is>
      </c>
      <c r="E132" s="10" t="n">
        <v>45666.79358796297</v>
      </c>
      <c r="F132" s="10" t="n">
        <v>45666.79952546296</v>
      </c>
      <c r="G132" s="10" t="n">
        <v>45666.8009837963</v>
      </c>
      <c r="H132" s="3" t="inlineStr">
        <is>
          <t>OBT090125193547-Budapest</t>
        </is>
      </c>
      <c r="I132" s="10" t="n">
        <v>45666.81737268518</v>
      </c>
      <c r="J132" s="10" t="n">
        <v>45666.84237268518</v>
      </c>
      <c r="K132" s="10" t="n">
        <v>45666.84237268518</v>
      </c>
      <c r="L132" s="10" t="n">
        <v>45666.8431712963</v>
      </c>
      <c r="M132" s="11">
        <f>IF(AND(ISNUMBER(E132),ISNUMBER(G132)),(G132-E132),"")</f>
        <v/>
      </c>
      <c r="N132" s="11">
        <f>IF(AND(ISNUMBER(G132),ISNUMBER(L132)),(L132-G132),"")</f>
        <v/>
      </c>
      <c r="O132" s="10" t="n">
        <v>45666.8165162037</v>
      </c>
      <c r="P132" s="11">
        <f>IF(AND(ISNUMBER(I132),ISNUMBER(O132)),(I132-O132),"")</f>
        <v/>
      </c>
      <c r="Q132" s="12" t="inlineStr">
        <is>
          <t>WG 1204101 (already coupled to WG 1204102 from the inbound train) entered track and got secured, OBTP started on 19:37:01 finished on 20:13:01 and then left at 20:14:10</t>
        </is>
      </c>
    </row>
    <row r="133">
      <c r="A133" s="3" t="inlineStr">
        <is>
          <t>1204102</t>
        </is>
      </c>
      <c r="B133" s="3" t="inlineStr">
        <is>
          <t>12041</t>
        </is>
      </c>
      <c r="C133" s="9" t="n">
        <v>64</v>
      </c>
      <c r="D133" s="3" t="inlineStr">
        <is>
          <t>Budapest</t>
        </is>
      </c>
      <c r="E133" s="10" t="n">
        <v>45666.79358796297</v>
      </c>
      <c r="F133" s="10" t="n">
        <v>45666.79952546296</v>
      </c>
      <c r="G133" s="10" t="n">
        <v>45666.8009837963</v>
      </c>
      <c r="H133" s="3" t="inlineStr">
        <is>
          <t>OBT090125193547-Budapest</t>
        </is>
      </c>
      <c r="I133" s="10" t="n">
        <v>45666.81737268518</v>
      </c>
      <c r="J133" s="10" t="n">
        <v>45666.84237268518</v>
      </c>
      <c r="K133" s="10" t="n">
        <v>45666.84237268518</v>
      </c>
      <c r="L133" s="10" t="n">
        <v>45666.8431712963</v>
      </c>
      <c r="M133" s="11">
        <f>IF(AND(ISNUMBER(E133),ISNUMBER(G133)),(G133-E133),"")</f>
        <v/>
      </c>
      <c r="N133" s="11">
        <f>IF(AND(ISNUMBER(G133),ISNUMBER(L133)),(L133-G133),"")</f>
        <v/>
      </c>
      <c r="O133" s="10" t="n">
        <v>45666.8165162037</v>
      </c>
      <c r="P133" s="11">
        <f>IF(AND(ISNUMBER(I133),ISNUMBER(O133)),(I133-O133),"")</f>
        <v/>
      </c>
      <c r="Q133" s="12" t="inlineStr">
        <is>
          <t>WG 1204102 (already coupled to WG 1204101 from the inbound train) entered track and got secured, OBTP started on 19:37:01 finished on 20:13:01 and then left at 20:14:10</t>
        </is>
      </c>
    </row>
    <row r="134">
      <c r="A134" s="3" t="inlineStr">
        <is>
          <t>1204201</t>
        </is>
      </c>
      <c r="B134" s="3" t="inlineStr">
        <is>
          <t>12042</t>
        </is>
      </c>
      <c r="C134" s="9" t="n">
        <v>48</v>
      </c>
      <c r="D134" s="3" t="inlineStr">
        <is>
          <t>Vienna</t>
        </is>
      </c>
      <c r="E134" s="10" t="n">
        <v>45666.7969212963</v>
      </c>
      <c r="F134" s="10" t="n">
        <v>45666.80469907408</v>
      </c>
      <c r="G134" s="10" t="n">
        <v>45666.80613425926</v>
      </c>
      <c r="H134" s="3" t="inlineStr">
        <is>
          <t>OBT090125194448-Vienna</t>
        </is>
      </c>
      <c r="I134" s="10" t="n">
        <v>45666.82364583333</v>
      </c>
      <c r="J134" s="10" t="n">
        <v>45666.85420138889</v>
      </c>
      <c r="K134" s="10" t="n">
        <v>45666.85420138889</v>
      </c>
      <c r="L134" s="10" t="n">
        <v>45666.85503472222</v>
      </c>
      <c r="M134" s="11">
        <f>IF(AND(ISNUMBER(E134),ISNUMBER(G134)),(G134-E134),"")</f>
        <v/>
      </c>
      <c r="N134" s="11">
        <f>IF(AND(ISNUMBER(G134),ISNUMBER(L134)),(L134-G134),"")</f>
        <v/>
      </c>
      <c r="O134" s="10" t="n">
        <v>45666.81581018519</v>
      </c>
      <c r="P134" s="11">
        <f>IF(AND(ISNUMBER(I134),ISNUMBER(O134)),(I134-O134),"")</f>
        <v/>
      </c>
      <c r="Q134" s="12" t="inlineStr">
        <is>
          <t>WG 1204201 (already coupled to WG 1204202 from the inbound train) entered track and got secured then waited 0:10:02 for WG 1204205 to get coupled, OBTP started on 19:46:03 finished on 20:30:03 and then left at 20:31:15</t>
        </is>
      </c>
    </row>
    <row r="135">
      <c r="A135" s="3" t="inlineStr">
        <is>
          <t>1204202</t>
        </is>
      </c>
      <c r="B135" s="3" t="inlineStr">
        <is>
          <t>12042</t>
        </is>
      </c>
      <c r="C135" s="9" t="n">
        <v>48</v>
      </c>
      <c r="D135" s="3" t="inlineStr">
        <is>
          <t>Vienna</t>
        </is>
      </c>
      <c r="E135" s="10" t="n">
        <v>45666.7969212963</v>
      </c>
      <c r="F135" s="10" t="n">
        <v>45666.80469907408</v>
      </c>
      <c r="G135" s="10" t="n">
        <v>45666.80613425926</v>
      </c>
      <c r="H135" s="3" t="inlineStr">
        <is>
          <t>OBT090125194448-Vienna</t>
        </is>
      </c>
      <c r="I135" s="10" t="n">
        <v>45666.82364583333</v>
      </c>
      <c r="J135" s="10" t="n">
        <v>45666.85420138889</v>
      </c>
      <c r="K135" s="10" t="n">
        <v>45666.85420138889</v>
      </c>
      <c r="L135" s="10" t="n">
        <v>45666.85503472222</v>
      </c>
      <c r="M135" s="11">
        <f>IF(AND(ISNUMBER(E135),ISNUMBER(G135)),(G135-E135),"")</f>
        <v/>
      </c>
      <c r="N135" s="11">
        <f>IF(AND(ISNUMBER(G135),ISNUMBER(L135)),(L135-G135),"")</f>
        <v/>
      </c>
      <c r="O135" s="10" t="n">
        <v>45666.81581018519</v>
      </c>
      <c r="P135" s="11">
        <f>IF(AND(ISNUMBER(I135),ISNUMBER(O135)),(I135-O135),"")</f>
        <v/>
      </c>
      <c r="Q135" s="12" t="inlineStr">
        <is>
          <t>WG 1204202 (already coupled to WG 1204201 from the inbound train) entered track and got secured then waited 0:10:02 for WG 1204205 to get coupled, OBTP started on 19:46:03 finished on 20:30:03 and then left at 20:31:15</t>
        </is>
      </c>
    </row>
    <row r="136">
      <c r="A136" s="3" t="inlineStr">
        <is>
          <t>1204203</t>
        </is>
      </c>
      <c r="B136" s="3" t="inlineStr">
        <is>
          <t>12042</t>
        </is>
      </c>
      <c r="C136" s="9" t="n">
        <v>64</v>
      </c>
      <c r="D136" s="3" t="inlineStr">
        <is>
          <t>Ljubljana</t>
        </is>
      </c>
      <c r="E136" s="10" t="n">
        <v>45666.7969212963</v>
      </c>
      <c r="F136" s="10" t="n">
        <v>45666.80613425926</v>
      </c>
      <c r="G136" s="10" t="n">
        <v>45666.80832175926</v>
      </c>
      <c r="H136" s="3" t="inlineStr">
        <is>
          <t>OBT100125133507-Ljubljana</t>
        </is>
      </c>
      <c r="I136" s="10" t="n">
        <v>45667.56783564815</v>
      </c>
      <c r="J136" s="10" t="n">
        <v>45667.5983912037</v>
      </c>
      <c r="K136" s="10" t="n">
        <v>45667.5983912037</v>
      </c>
      <c r="L136" s="10" t="n">
        <v>45667.59930555556</v>
      </c>
      <c r="M136" s="11">
        <f>IF(AND(ISNUMBER(E136),ISNUMBER(G136)),(G136-E136),"")</f>
        <v/>
      </c>
      <c r="N136" s="11">
        <f>IF(AND(ISNUMBER(G136),ISNUMBER(L136)),(L136-G136),"")</f>
        <v/>
      </c>
      <c r="O136" s="10" t="n">
        <v>45666.81895833334</v>
      </c>
      <c r="P136" s="11">
        <f>IF(AND(ISNUMBER(I136),ISNUMBER(O136)),(I136-O136),"")</f>
        <v/>
      </c>
      <c r="Q136" s="12" t="inlineStr">
        <is>
          <t>WG 1204203 (already coupled to WG 1204204 from the inbound train) entered track and got secured then waited 17:55:49 for WG 1204804 to get coupled, OBTP started on 13:37:41 finished on 14:21:41 and then left at 14:23:00</t>
        </is>
      </c>
    </row>
    <row r="137">
      <c r="A137" s="3" t="inlineStr">
        <is>
          <t>1204204</t>
        </is>
      </c>
      <c r="B137" s="3" t="inlineStr">
        <is>
          <t>12042</t>
        </is>
      </c>
      <c r="C137" s="9" t="n">
        <v>32</v>
      </c>
      <c r="D137" s="3" t="inlineStr">
        <is>
          <t>Ljubljana</t>
        </is>
      </c>
      <c r="E137" s="10" t="n">
        <v>45666.7969212963</v>
      </c>
      <c r="F137" s="10" t="n">
        <v>45666.80613425926</v>
      </c>
      <c r="G137" s="10" t="n">
        <v>45666.80832175926</v>
      </c>
      <c r="H137" s="3" t="inlineStr">
        <is>
          <t>OBT100125133507-Ljubljana</t>
        </is>
      </c>
      <c r="I137" s="10" t="n">
        <v>45667.56783564815</v>
      </c>
      <c r="J137" s="10" t="n">
        <v>45667.5983912037</v>
      </c>
      <c r="K137" s="10" t="n">
        <v>45667.5983912037</v>
      </c>
      <c r="L137" s="10" t="n">
        <v>45667.59930555556</v>
      </c>
      <c r="M137" s="11">
        <f>IF(AND(ISNUMBER(E137),ISNUMBER(G137)),(G137-E137),"")</f>
        <v/>
      </c>
      <c r="N137" s="11">
        <f>IF(AND(ISNUMBER(G137),ISNUMBER(L137)),(L137-G137),"")</f>
        <v/>
      </c>
      <c r="O137" s="10" t="n">
        <v>45666.81895833334</v>
      </c>
      <c r="P137" s="11">
        <f>IF(AND(ISNUMBER(I137),ISNUMBER(O137)),(I137-O137),"")</f>
        <v/>
      </c>
      <c r="Q137" s="12" t="inlineStr">
        <is>
          <t>WG 1204204 (already coupled to WG 1204203 from the inbound train) entered track and got secured then waited 17:55:49 for WG 1204804 to get coupled, OBTP started on 13:37:41 finished on 14:21:41 and then left at 14:23:00</t>
        </is>
      </c>
    </row>
    <row r="138">
      <c r="A138" s="3" t="inlineStr">
        <is>
          <t>1204205</t>
        </is>
      </c>
      <c r="B138" s="3" t="inlineStr">
        <is>
          <t>12042</t>
        </is>
      </c>
      <c r="C138" s="9" t="n">
        <v>80</v>
      </c>
      <c r="D138" s="3" t="inlineStr">
        <is>
          <t>Vienna</t>
        </is>
      </c>
      <c r="E138" s="10" t="n">
        <v>45666.7969212963</v>
      </c>
      <c r="F138" s="10" t="n">
        <v>45666.80832175926</v>
      </c>
      <c r="G138" s="10" t="n">
        <v>45666.80971064815</v>
      </c>
      <c r="H138" s="3" t="inlineStr">
        <is>
          <t>OBT090125194448-Vienna</t>
        </is>
      </c>
      <c r="I138" s="10" t="n">
        <v>45666.82364583333</v>
      </c>
      <c r="J138" s="10" t="n">
        <v>45666.85420138889</v>
      </c>
      <c r="K138" s="10" t="n">
        <v>45666.85420138889</v>
      </c>
      <c r="L138" s="10" t="n">
        <v>45666.85503472222</v>
      </c>
      <c r="M138" s="11">
        <f>IF(AND(ISNUMBER(E138),ISNUMBER(G138)),(G138-E138),"")</f>
        <v/>
      </c>
      <c r="N138" s="11">
        <f>IF(AND(ISNUMBER(G138),ISNUMBER(L138)),(L138-G138),"")</f>
        <v/>
      </c>
      <c r="O138" s="10" t="n">
        <v>45666.82277777778</v>
      </c>
      <c r="P138" s="11">
        <f>IF(AND(ISNUMBER(I138),ISNUMBER(O138)),(I138-O138),"")</f>
        <v/>
      </c>
      <c r="Q138" s="12" t="inlineStr">
        <is>
          <t>WG 1204205 entered track and got coupled to cut 1204201+1204202, OBTP started on 19:46:03 finished on 20:30:03 and then left at 20:31:15</t>
        </is>
      </c>
    </row>
    <row r="139">
      <c r="A139" s="3" t="inlineStr">
        <is>
          <t>1204301</t>
        </is>
      </c>
      <c r="B139" s="3" t="inlineStr">
        <is>
          <t>12043</t>
        </is>
      </c>
      <c r="C139" s="9" t="n">
        <v>64</v>
      </c>
      <c r="D139" s="3" t="inlineStr">
        <is>
          <t>Salzburg</t>
        </is>
      </c>
      <c r="E139" s="10" t="n">
        <v>45666.93945601852</v>
      </c>
      <c r="F139" s="10" t="n">
        <v>45666.9453125</v>
      </c>
      <c r="G139" s="10" t="n">
        <v>45666.94737268519</v>
      </c>
      <c r="H139" s="3" t="inlineStr">
        <is>
          <t>OBT090125232040-Salzburg</t>
        </is>
      </c>
      <c r="I139" s="10" t="n">
        <v>45666.97355324074</v>
      </c>
      <c r="J139" s="10" t="n">
        <v>45667.00688657408</v>
      </c>
      <c r="K139" s="10" t="n">
        <v>45667.00688657408</v>
      </c>
      <c r="L139" s="10" t="n">
        <v>45667.00792824074</v>
      </c>
      <c r="M139" s="11">
        <f>IF(AND(ISNUMBER(E139),ISNUMBER(G139)),(G139-E139),"")</f>
        <v/>
      </c>
      <c r="N139" s="11">
        <f>IF(AND(ISNUMBER(G139),ISNUMBER(L139)),(L139-G139),"")</f>
        <v/>
      </c>
      <c r="O139" s="10" t="n">
        <v>45666.97268518519</v>
      </c>
      <c r="P139" s="11">
        <f>IF(AND(ISNUMBER(I139),ISNUMBER(O139)),(I139-O139),"")</f>
        <v/>
      </c>
      <c r="Q139" s="12" t="inlineStr">
        <is>
          <t>WG 1204301 (already coupled to WG 1204302, WG 1204303, WG 1204304 from the inbound train) entered track and got coupled to WG 1203801, OBTP started on 23:21:55 finished on 00:09:55 and then left at 00:11:25</t>
        </is>
      </c>
    </row>
    <row r="140">
      <c r="A140" s="3" t="inlineStr">
        <is>
          <t>1204302</t>
        </is>
      </c>
      <c r="B140" s="3" t="inlineStr">
        <is>
          <t>12043</t>
        </is>
      </c>
      <c r="C140" s="9" t="n">
        <v>32</v>
      </c>
      <c r="D140" s="3" t="inlineStr">
        <is>
          <t>Salzburg</t>
        </is>
      </c>
      <c r="E140" s="10" t="n">
        <v>45666.93945601852</v>
      </c>
      <c r="F140" s="10" t="n">
        <v>45666.9453125</v>
      </c>
      <c r="G140" s="10" t="n">
        <v>45666.94737268519</v>
      </c>
      <c r="H140" s="3" t="inlineStr">
        <is>
          <t>OBT090125232040-Salzburg</t>
        </is>
      </c>
      <c r="I140" s="10" t="n">
        <v>45666.97355324074</v>
      </c>
      <c r="J140" s="10" t="n">
        <v>45667.00688657408</v>
      </c>
      <c r="K140" s="10" t="n">
        <v>45667.00688657408</v>
      </c>
      <c r="L140" s="10" t="n">
        <v>45667.00792824074</v>
      </c>
      <c r="M140" s="11">
        <f>IF(AND(ISNUMBER(E140),ISNUMBER(G140)),(G140-E140),"")</f>
        <v/>
      </c>
      <c r="N140" s="11">
        <f>IF(AND(ISNUMBER(G140),ISNUMBER(L140)),(L140-G140),"")</f>
        <v/>
      </c>
      <c r="O140" s="10" t="n">
        <v>45666.97268518519</v>
      </c>
      <c r="P140" s="11">
        <f>IF(AND(ISNUMBER(I140),ISNUMBER(O140)),(I140-O140),"")</f>
        <v/>
      </c>
      <c r="Q140" s="12" t="inlineStr">
        <is>
          <t>WG 1204302 (already coupled to WG 1204301, WG 1204303, WG 1204304 from the inbound train) entered track and got coupled to WG 1203801, OBTP started on 23:21:55 finished on 00:09:55 and then left at 00:11:25</t>
        </is>
      </c>
    </row>
    <row r="141">
      <c r="A141" s="3" t="inlineStr">
        <is>
          <t>1204303</t>
        </is>
      </c>
      <c r="B141" s="3" t="inlineStr">
        <is>
          <t>12043</t>
        </is>
      </c>
      <c r="C141" s="9" t="n">
        <v>32</v>
      </c>
      <c r="D141" s="3" t="inlineStr">
        <is>
          <t>Salzburg</t>
        </is>
      </c>
      <c r="E141" s="10" t="n">
        <v>45666.93945601852</v>
      </c>
      <c r="F141" s="10" t="n">
        <v>45666.9453125</v>
      </c>
      <c r="G141" s="10" t="n">
        <v>45666.94737268519</v>
      </c>
      <c r="H141" s="3" t="inlineStr">
        <is>
          <t>OBT090125232040-Salzburg</t>
        </is>
      </c>
      <c r="I141" s="10" t="n">
        <v>45666.97355324074</v>
      </c>
      <c r="J141" s="10" t="n">
        <v>45667.00688657408</v>
      </c>
      <c r="K141" s="10" t="n">
        <v>45667.00688657408</v>
      </c>
      <c r="L141" s="10" t="n">
        <v>45667.00792824074</v>
      </c>
      <c r="M141" s="11">
        <f>IF(AND(ISNUMBER(E141),ISNUMBER(G141)),(G141-E141),"")</f>
        <v/>
      </c>
      <c r="N141" s="11">
        <f>IF(AND(ISNUMBER(G141),ISNUMBER(L141)),(L141-G141),"")</f>
        <v/>
      </c>
      <c r="O141" s="10" t="n">
        <v>45666.97268518519</v>
      </c>
      <c r="P141" s="11">
        <f>IF(AND(ISNUMBER(I141),ISNUMBER(O141)),(I141-O141),"")</f>
        <v/>
      </c>
      <c r="Q141" s="12" t="inlineStr">
        <is>
          <t>WG 1204303 (already coupled to WG 1204301, WG 1204302, WG 1204304 from the inbound train) entered track and got coupled to WG 1203801, OBTP started on 23:21:55 finished on 00:09:55 and then left at 00:11:25</t>
        </is>
      </c>
    </row>
    <row r="142">
      <c r="A142" s="3" t="inlineStr">
        <is>
          <t>1204304</t>
        </is>
      </c>
      <c r="B142" s="3" t="inlineStr">
        <is>
          <t>12043</t>
        </is>
      </c>
      <c r="C142" s="9" t="n">
        <v>32</v>
      </c>
      <c r="D142" s="3" t="inlineStr">
        <is>
          <t>Salzburg</t>
        </is>
      </c>
      <c r="E142" s="10" t="n">
        <v>45666.93945601852</v>
      </c>
      <c r="F142" s="10" t="n">
        <v>45666.9453125</v>
      </c>
      <c r="G142" s="10" t="n">
        <v>45666.94737268519</v>
      </c>
      <c r="H142" s="3" t="inlineStr">
        <is>
          <t>OBT090125232040-Salzburg</t>
        </is>
      </c>
      <c r="I142" s="10" t="n">
        <v>45666.97355324074</v>
      </c>
      <c r="J142" s="10" t="n">
        <v>45667.00688657408</v>
      </c>
      <c r="K142" s="10" t="n">
        <v>45667.00688657408</v>
      </c>
      <c r="L142" s="10" t="n">
        <v>45667.00792824074</v>
      </c>
      <c r="M142" s="11">
        <f>IF(AND(ISNUMBER(E142),ISNUMBER(G142)),(G142-E142),"")</f>
        <v/>
      </c>
      <c r="N142" s="11">
        <f>IF(AND(ISNUMBER(G142),ISNUMBER(L142)),(L142-G142),"")</f>
        <v/>
      </c>
      <c r="O142" s="10" t="n">
        <v>45666.97268518519</v>
      </c>
      <c r="P142" s="11">
        <f>IF(AND(ISNUMBER(I142),ISNUMBER(O142)),(I142-O142),"")</f>
        <v/>
      </c>
      <c r="Q142" s="12" t="inlineStr">
        <is>
          <t>WG 1204304 (already coupled to WG 1204301, WG 1204302, WG 1204303 from the inbound train) entered track and got coupled to WG 1203801, OBTP started on 23:21:55 finished on 00:09:55 and then left at 00:11:25</t>
        </is>
      </c>
    </row>
    <row r="143">
      <c r="A143" s="3" t="inlineStr">
        <is>
          <t>1204401</t>
        </is>
      </c>
      <c r="B143" s="3" t="inlineStr">
        <is>
          <t>12044</t>
        </is>
      </c>
      <c r="C143" s="9" t="n">
        <v>32</v>
      </c>
      <c r="D143" s="3" t="inlineStr">
        <is>
          <t>Graz</t>
        </is>
      </c>
      <c r="E143" s="10" t="n">
        <v>45667.29362268518</v>
      </c>
      <c r="F143" s="10" t="n">
        <v>45667.30126157407</v>
      </c>
      <c r="G143" s="10" t="n">
        <v>45667.30246527777</v>
      </c>
      <c r="H143" s="3" t="inlineStr">
        <is>
          <t>OBT100125093309-Graz</t>
        </is>
      </c>
      <c r="I143" s="10" t="n">
        <v>45667.39886574074</v>
      </c>
      <c r="J143" s="10" t="n">
        <v>45667.42386574074</v>
      </c>
      <c r="K143" s="10" t="n">
        <v>45667.42386574074</v>
      </c>
      <c r="L143" s="10" t="n">
        <v>45667.42466435185</v>
      </c>
      <c r="M143" s="11">
        <f>IF(AND(ISNUMBER(E143),ISNUMBER(G143)),(G143-E143),"")</f>
        <v/>
      </c>
      <c r="N143" s="11">
        <f>IF(AND(ISNUMBER(G143),ISNUMBER(L143)),(L143-G143),"")</f>
        <v/>
      </c>
      <c r="O143" s="10" t="n">
        <v>45667.30658564815</v>
      </c>
      <c r="P143" s="11">
        <f>IF(AND(ISNUMBER(I143),ISNUMBER(O143)),(I143-O143),"")</f>
        <v/>
      </c>
      <c r="Q143" s="12" t="inlineStr">
        <is>
          <t>WG 1204401 entered track and got secured then waited 0:12:06 for WG 1204404 to get coupled then waited 1:59:34 for WG 1204701 to get coupled, OBTP started on 09:34:22 finished on 10:10:22 and then left at 10:11:31</t>
        </is>
      </c>
    </row>
    <row r="144">
      <c r="A144" s="3" t="inlineStr">
        <is>
          <t>1204402</t>
        </is>
      </c>
      <c r="B144" s="3" t="inlineStr">
        <is>
          <t>12044</t>
        </is>
      </c>
      <c r="C144" s="9" t="n">
        <v>48</v>
      </c>
      <c r="D144" s="3" t="inlineStr">
        <is>
          <t>Budapest</t>
        </is>
      </c>
      <c r="E144" s="10" t="n">
        <v>45667.29362268518</v>
      </c>
      <c r="F144" s="10" t="n">
        <v>45667.30246527777</v>
      </c>
      <c r="G144" s="10" t="n">
        <v>45667.30380787037</v>
      </c>
      <c r="H144" s="3" t="inlineStr">
        <is>
          <t>OBT100125152926-Budapest</t>
        </is>
      </c>
      <c r="I144" s="10" t="n">
        <v>45667.64630787037</v>
      </c>
      <c r="J144" s="10" t="n">
        <v>45667.66853009259</v>
      </c>
      <c r="K144" s="10" t="n">
        <v>45667.66853009259</v>
      </c>
      <c r="L144" s="10" t="n">
        <v>45667.66924768518</v>
      </c>
      <c r="M144" s="11">
        <f>IF(AND(ISNUMBER(E144),ISNUMBER(G144)),(G144-E144),"")</f>
        <v/>
      </c>
      <c r="N144" s="11">
        <f>IF(AND(ISNUMBER(G144),ISNUMBER(L144)),(L144-G144),"")</f>
        <v/>
      </c>
      <c r="O144" s="10" t="n">
        <v>45667.30902777778</v>
      </c>
      <c r="P144" s="11">
        <f>IF(AND(ISNUMBER(I144),ISNUMBER(O144)),(I144-O144),"")</f>
        <v/>
      </c>
      <c r="Q144" s="12" t="inlineStr">
        <is>
          <t>WG 1204402 entered track and got secured then waited 1:18:33 for WG 1204601 to get coupled then waited 6:45:53 for WG 1205002 to get coupled, OBTP started on 15:30:41 finished on 16:02:41 and then left at 16:03:43</t>
        </is>
      </c>
    </row>
    <row r="145">
      <c r="A145" s="3" t="inlineStr">
        <is>
          <t>1204403</t>
        </is>
      </c>
      <c r="B145" s="3" t="inlineStr">
        <is>
          <t>12044</t>
        </is>
      </c>
      <c r="C145" s="9" t="n">
        <v>32</v>
      </c>
      <c r="D145" s="3" t="inlineStr">
        <is>
          <t>Innsbruck</t>
        </is>
      </c>
      <c r="E145" s="10" t="n">
        <v>45667.29362268518</v>
      </c>
      <c r="F145" s="10" t="n">
        <v>45667.30380787037</v>
      </c>
      <c r="G145" s="10" t="n">
        <v>45667.3055787037</v>
      </c>
      <c r="H145" s="3" t="inlineStr">
        <is>
          <t>OBT100125165112-Innsbruck</t>
        </is>
      </c>
      <c r="I145" s="10" t="n">
        <v>45667.70305555555</v>
      </c>
      <c r="J145" s="10" t="n">
        <v>45667.73083333333</v>
      </c>
      <c r="K145" s="10" t="n">
        <v>45667.73083333333</v>
      </c>
      <c r="L145" s="10" t="n">
        <v>45667.73171296297</v>
      </c>
      <c r="M145" s="11">
        <f>IF(AND(ISNUMBER(E145),ISNUMBER(G145)),(G145-E145),"")</f>
        <v/>
      </c>
      <c r="N145" s="11">
        <f>IF(AND(ISNUMBER(G145),ISNUMBER(L145)),(L145-G145),"")</f>
        <v/>
      </c>
      <c r="O145" s="10" t="n">
        <v>45667.31133101852</v>
      </c>
      <c r="P145" s="11">
        <f>IF(AND(ISNUMBER(I145),ISNUMBER(O145)),(I145-O145),"")</f>
        <v/>
      </c>
      <c r="Q145" s="12" t="inlineStr">
        <is>
          <t>WG 1204403 entered track and got coupled to WG 1203302 then waited 9:22:53 for WG 1205202 to get coupled, OBTP started on 16:52:24 finished on 17:32:24 and then left at 17:33:40</t>
        </is>
      </c>
    </row>
    <row r="146">
      <c r="A146" s="3" t="inlineStr">
        <is>
          <t>1204404</t>
        </is>
      </c>
      <c r="B146" s="3" t="inlineStr">
        <is>
          <t>12044</t>
        </is>
      </c>
      <c r="C146" s="9" t="n">
        <v>48</v>
      </c>
      <c r="D146" s="3" t="inlineStr">
        <is>
          <t>Graz</t>
        </is>
      </c>
      <c r="E146" s="10" t="n">
        <v>45667.29362268518</v>
      </c>
      <c r="F146" s="10" t="n">
        <v>45667.3055787037</v>
      </c>
      <c r="G146" s="10" t="n">
        <v>45667.30680555556</v>
      </c>
      <c r="H146" s="3" t="inlineStr">
        <is>
          <t>OBT100125093309-Graz</t>
        </is>
      </c>
      <c r="I146" s="10" t="n">
        <v>45667.39886574074</v>
      </c>
      <c r="J146" s="10" t="n">
        <v>45667.42386574074</v>
      </c>
      <c r="K146" s="10" t="n">
        <v>45667.42386574074</v>
      </c>
      <c r="L146" s="10" t="n">
        <v>45667.42466435185</v>
      </c>
      <c r="M146" s="11">
        <f>IF(AND(ISNUMBER(E146),ISNUMBER(G146)),(G146-E146),"")</f>
        <v/>
      </c>
      <c r="N146" s="11">
        <f>IF(AND(ISNUMBER(G146),ISNUMBER(L146)),(L146-G146),"")</f>
        <v/>
      </c>
      <c r="O146" s="10" t="n">
        <v>45667.31498842593</v>
      </c>
      <c r="P146" s="11">
        <f>IF(AND(ISNUMBER(I146),ISNUMBER(O146)),(I146-O146),"")</f>
        <v/>
      </c>
      <c r="Q146" s="12" t="inlineStr">
        <is>
          <t>WG 1204404 entered track and got coupled to WG 1204401 then waited 1:59:34 for WG 1204701 to get coupled, OBTP started on 09:34:22 finished on 10:10:22 and then left at 10:11:31</t>
        </is>
      </c>
    </row>
    <row r="147">
      <c r="A147" s="3" t="inlineStr">
        <is>
          <t>1204501</t>
        </is>
      </c>
      <c r="B147" s="3" t="inlineStr">
        <is>
          <t>12045</t>
        </is>
      </c>
      <c r="C147" s="9" t="n">
        <v>64</v>
      </c>
      <c r="D147" s="3" t="inlineStr">
        <is>
          <t>Vienna</t>
        </is>
      </c>
      <c r="E147" s="10" t="n">
        <v>45667.31789351852</v>
      </c>
      <c r="F147" s="10" t="n">
        <v>45667.32471064815</v>
      </c>
      <c r="G147" s="10" t="n">
        <v>45667.32655092593</v>
      </c>
      <c r="H147" s="3" t="inlineStr">
        <is>
          <t>OBT100125135618-Vienna</t>
        </is>
      </c>
      <c r="I147" s="10" t="n">
        <v>45667.60006944444</v>
      </c>
      <c r="J147" s="10" t="n">
        <v>45667.630625</v>
      </c>
      <c r="K147" s="10" t="n">
        <v>45667.630625</v>
      </c>
      <c r="L147" s="10" t="n">
        <v>45667.63162037037</v>
      </c>
      <c r="M147" s="11">
        <f>IF(AND(ISNUMBER(E147),ISNUMBER(G147)),(G147-E147),"")</f>
        <v/>
      </c>
      <c r="N147" s="11">
        <f>IF(AND(ISNUMBER(G147),ISNUMBER(L147)),(L147-G147),"")</f>
        <v/>
      </c>
      <c r="O147" s="10" t="n">
        <v>45667.33392361111</v>
      </c>
      <c r="P147" s="11">
        <f>IF(AND(ISNUMBER(I147),ISNUMBER(O147)),(I147-O147),"")</f>
        <v/>
      </c>
      <c r="Q147" s="12" t="inlineStr">
        <is>
          <t>WG 1204501 entered track and got secured then waited 5:55:27 for cut 1204904+1204905 to get coupled, OBTP started on 14:24:06 finished on 15:08:06 and then left at 15:09:32</t>
        </is>
      </c>
    </row>
    <row r="148">
      <c r="A148" s="3" t="inlineStr">
        <is>
          <t>1204502</t>
        </is>
      </c>
      <c r="B148" s="3" t="inlineStr">
        <is>
          <t>12045</t>
        </is>
      </c>
      <c r="C148" s="9" t="n">
        <v>32</v>
      </c>
      <c r="D148" s="3" t="inlineStr">
        <is>
          <t>Salzburg</t>
        </is>
      </c>
      <c r="E148" s="10" t="n">
        <v>45667.31789351852</v>
      </c>
      <c r="F148" s="10" t="n">
        <v>45667.32655092593</v>
      </c>
      <c r="G148" s="10" t="n">
        <v>45667.32834490741</v>
      </c>
      <c r="H148" s="3" t="inlineStr">
        <is>
          <t>OBT100125133517-Salzburg</t>
        </is>
      </c>
      <c r="I148" s="10" t="n">
        <v>45667.58241898148</v>
      </c>
      <c r="J148" s="10" t="n">
        <v>45667.6046412037</v>
      </c>
      <c r="K148" s="10" t="n">
        <v>45667.6046412037</v>
      </c>
      <c r="L148" s="10" t="n">
        <v>45667.60547453703</v>
      </c>
      <c r="M148" s="11">
        <f>IF(AND(ISNUMBER(E148),ISNUMBER(G148)),(G148-E148),"")</f>
        <v/>
      </c>
      <c r="N148" s="11">
        <f>IF(AND(ISNUMBER(G148),ISNUMBER(L148)),(L148-G148),"")</f>
        <v/>
      </c>
      <c r="O148" s="10" t="n">
        <v>45667.33247685185</v>
      </c>
      <c r="P148" s="11">
        <f>IF(AND(ISNUMBER(I148),ISNUMBER(O148)),(I148-O148),"")</f>
        <v/>
      </c>
      <c r="Q148" s="12" t="inlineStr">
        <is>
          <t>WG 1204502 entered track and got secured then waited 0:55:17 for WG 1204602 to get coupled then waited 4:41:14 for WG 1204902 to get coupled, OBTP started on 13:58:41 finished on 14:30:41 and then left at 14:31:53</t>
        </is>
      </c>
    </row>
    <row r="149">
      <c r="A149" s="3" t="inlineStr">
        <is>
          <t>1204503</t>
        </is>
      </c>
      <c r="B149" s="3" t="inlineStr">
        <is>
          <t>12045</t>
        </is>
      </c>
      <c r="C149" s="9" t="n">
        <v>48</v>
      </c>
      <c r="D149" s="3" t="inlineStr">
        <is>
          <t>Klagenfurt</t>
        </is>
      </c>
      <c r="E149" s="10" t="n">
        <v>45667.31789351852</v>
      </c>
      <c r="F149" s="10" t="n">
        <v>45667.32834490741</v>
      </c>
      <c r="G149" s="10" t="n">
        <v>45667.33033564815</v>
      </c>
      <c r="H149" s="3" t="inlineStr">
        <is>
          <t>OBT100125080623-Klagenfurt</t>
        </is>
      </c>
      <c r="I149" s="10" t="n">
        <v>45667.33863425926</v>
      </c>
      <c r="J149" s="10" t="n">
        <v>45667.36085648148</v>
      </c>
      <c r="K149" s="10" t="n">
        <v>45667.36085648148</v>
      </c>
      <c r="L149" s="10" t="n">
        <v>45667.36155092593</v>
      </c>
      <c r="M149" s="11">
        <f>IF(AND(ISNUMBER(E149),ISNUMBER(G149)),(G149-E149),"")</f>
        <v/>
      </c>
      <c r="N149" s="11">
        <f>IF(AND(ISNUMBER(G149),ISNUMBER(L149)),(L149-G149),"")</f>
        <v/>
      </c>
      <c r="O149" s="10" t="n">
        <v>45667.3377662037</v>
      </c>
      <c r="P149" s="11">
        <f>IF(AND(ISNUMBER(I149),ISNUMBER(O149)),(I149-O149),"")</f>
        <v/>
      </c>
      <c r="Q149" s="12" t="inlineStr">
        <is>
          <t>WG 1204503 entered track and got coupled to WG 1202803, OBTP started on 08:07:38 finished on 08:39:38 and then left at 08:40:38</t>
        </is>
      </c>
    </row>
    <row r="150">
      <c r="A150" s="3" t="inlineStr">
        <is>
          <t>1204601</t>
        </is>
      </c>
      <c r="B150" s="3" t="inlineStr">
        <is>
          <t>12046</t>
        </is>
      </c>
      <c r="C150" s="9" t="n">
        <v>32</v>
      </c>
      <c r="D150" s="3" t="inlineStr">
        <is>
          <t>Budapest</t>
        </is>
      </c>
      <c r="E150" s="10" t="n">
        <v>45667.35181712963</v>
      </c>
      <c r="F150" s="10" t="n">
        <v>45667.35704861111</v>
      </c>
      <c r="G150" s="10" t="n">
        <v>45667.35835648148</v>
      </c>
      <c r="H150" s="3" t="inlineStr">
        <is>
          <t>OBT100125152926-Budapest</t>
        </is>
      </c>
      <c r="I150" s="10" t="n">
        <v>45667.64630787037</v>
      </c>
      <c r="J150" s="10" t="n">
        <v>45667.66853009259</v>
      </c>
      <c r="K150" s="10" t="n">
        <v>45667.66853009259</v>
      </c>
      <c r="L150" s="10" t="n">
        <v>45667.66924768518</v>
      </c>
      <c r="M150" s="11">
        <f>IF(AND(ISNUMBER(E150),ISNUMBER(G150)),(G150-E150),"")</f>
        <v/>
      </c>
      <c r="N150" s="11">
        <f>IF(AND(ISNUMBER(G150),ISNUMBER(L150)),(L150-G150),"")</f>
        <v/>
      </c>
      <c r="O150" s="10" t="n">
        <v>45667.36357638889</v>
      </c>
      <c r="P150" s="11">
        <f>IF(AND(ISNUMBER(I150),ISNUMBER(O150)),(I150-O150),"")</f>
        <v/>
      </c>
      <c r="Q150" s="12" t="inlineStr">
        <is>
          <t>WG 1204601 entered track and got coupled to WG 1204402 then waited 6:45:53 for WG 1205002 to get coupled, OBTP started on 15:30:41 finished on 16:02:41 and then left at 16:03:43</t>
        </is>
      </c>
    </row>
    <row r="151">
      <c r="A151" s="3" t="inlineStr">
        <is>
          <t>1204602</t>
        </is>
      </c>
      <c r="B151" s="3" t="inlineStr">
        <is>
          <t>12046</t>
        </is>
      </c>
      <c r="C151" s="9" t="n">
        <v>64</v>
      </c>
      <c r="D151" s="3" t="inlineStr">
        <is>
          <t>Salzburg</t>
        </is>
      </c>
      <c r="E151" s="10" t="n">
        <v>45667.35181712963</v>
      </c>
      <c r="F151" s="10" t="n">
        <v>45667.35835648148</v>
      </c>
      <c r="G151" s="10" t="n">
        <v>45667.36021990741</v>
      </c>
      <c r="H151" s="3" t="inlineStr">
        <is>
          <t>OBT100125133517-Salzburg</t>
        </is>
      </c>
      <c r="I151" s="10" t="n">
        <v>45667.58241898148</v>
      </c>
      <c r="J151" s="10" t="n">
        <v>45667.6046412037</v>
      </c>
      <c r="K151" s="10" t="n">
        <v>45667.6046412037</v>
      </c>
      <c r="L151" s="10" t="n">
        <v>45667.60547453703</v>
      </c>
      <c r="M151" s="11">
        <f>IF(AND(ISNUMBER(E151),ISNUMBER(G151)),(G151-E151),"")</f>
        <v/>
      </c>
      <c r="N151" s="11">
        <f>IF(AND(ISNUMBER(G151),ISNUMBER(L151)),(L151-G151),"")</f>
        <v/>
      </c>
      <c r="O151" s="10" t="n">
        <v>45667.37086805556</v>
      </c>
      <c r="P151" s="11">
        <f>IF(AND(ISNUMBER(I151),ISNUMBER(O151)),(I151-O151),"")</f>
        <v/>
      </c>
      <c r="Q151" s="12" t="inlineStr">
        <is>
          <t>WG 1204602 entered track and got coupled to WG 1204502 then waited 4:41:14 for WG 1204902 to get coupled, OBTP started on 13:58:41 finished on 14:30:41 and then left at 14:31:53</t>
        </is>
      </c>
    </row>
    <row r="152">
      <c r="A152" s="3" t="inlineStr">
        <is>
          <t>1204701</t>
        </is>
      </c>
      <c r="B152" s="3" t="inlineStr">
        <is>
          <t>12047</t>
        </is>
      </c>
      <c r="C152" s="9" t="n">
        <v>64</v>
      </c>
      <c r="D152" s="3" t="inlineStr">
        <is>
          <t>Graz</t>
        </is>
      </c>
      <c r="E152" s="10" t="n">
        <v>45667.37908564815</v>
      </c>
      <c r="F152" s="10" t="n">
        <v>45667.38609953703</v>
      </c>
      <c r="G152" s="10" t="n">
        <v>45667.38737268518</v>
      </c>
      <c r="H152" s="3" t="inlineStr">
        <is>
          <t>OBT100125093309-Graz</t>
        </is>
      </c>
      <c r="I152" s="10" t="n">
        <v>45667.39886574074</v>
      </c>
      <c r="J152" s="10" t="n">
        <v>45667.42386574074</v>
      </c>
      <c r="K152" s="10" t="n">
        <v>45667.42386574074</v>
      </c>
      <c r="L152" s="10" t="n">
        <v>45667.42466435185</v>
      </c>
      <c r="M152" s="11">
        <f>IF(AND(ISNUMBER(E152),ISNUMBER(G152)),(G152-E152),"")</f>
        <v/>
      </c>
      <c r="N152" s="11">
        <f>IF(AND(ISNUMBER(G152),ISNUMBER(L152)),(L152-G152),"")</f>
        <v/>
      </c>
      <c r="O152" s="10" t="n">
        <v>45667.39802083333</v>
      </c>
      <c r="P152" s="11">
        <f>IF(AND(ISNUMBER(I152),ISNUMBER(O152)),(I152-O152),"")</f>
        <v/>
      </c>
      <c r="Q152" s="12" t="inlineStr">
        <is>
          <t>WG 1204701 entered track and got coupled to WG 1204404, OBTP started on 09:34:22 finished on 10:10:22 and then left at 10:11:31</t>
        </is>
      </c>
    </row>
    <row r="153">
      <c r="A153" s="3" t="inlineStr">
        <is>
          <t>1204702</t>
        </is>
      </c>
      <c r="B153" s="3" t="inlineStr">
        <is>
          <t>12047</t>
        </is>
      </c>
      <c r="C153" s="9" t="n">
        <v>64</v>
      </c>
      <c r="D153" s="3" t="inlineStr">
        <is>
          <t>Klagenfurt</t>
        </is>
      </c>
      <c r="E153" s="10" t="n">
        <v>45667.37908564815</v>
      </c>
      <c r="F153" s="10" t="n">
        <v>45667.38737268518</v>
      </c>
      <c r="G153" s="10" t="n">
        <v>45667.38939814815</v>
      </c>
      <c r="H153" s="3" t="inlineStr">
        <is>
          <t>OBT110125130321-Klagenfurt</t>
        </is>
      </c>
      <c r="I153" s="10" t="n">
        <v>45668.5668287037</v>
      </c>
      <c r="J153" s="10" t="n">
        <v>45668.59182870371</v>
      </c>
      <c r="K153" s="10" t="n">
        <v>45668.59182870371</v>
      </c>
      <c r="L153" s="10" t="n">
        <v>45668.59255787037</v>
      </c>
      <c r="M153" s="11">
        <f>IF(AND(ISNUMBER(E153),ISNUMBER(G153)),(G153-E153),"")</f>
        <v/>
      </c>
      <c r="N153" s="11">
        <f>IF(AND(ISNUMBER(G153),ISNUMBER(L153)),(L153-G153),"")</f>
        <v/>
      </c>
      <c r="O153" s="10" t="n">
        <v>45667.39678240741</v>
      </c>
      <c r="P153" s="11">
        <f>IF(AND(ISNUMBER(I153),ISNUMBER(O153)),(I153-O153),"")</f>
        <v/>
      </c>
      <c r="Q153" s="12" t="inlineStr">
        <is>
          <t>WG 1204702 entered track and got secured then waited 22:11:09 for WG 1206002 to get coupled then waited 5:20:50 for WG 1206401 to get coupled, OBTP started on 13:36:14 finished on 14:12:14 and then left at 14:13:17</t>
        </is>
      </c>
    </row>
    <row r="154">
      <c r="A154" s="3" t="inlineStr">
        <is>
          <t>1204703</t>
        </is>
      </c>
      <c r="B154" s="3" t="inlineStr">
        <is>
          <t>12047</t>
        </is>
      </c>
      <c r="C154" s="9" t="n">
        <v>48</v>
      </c>
      <c r="D154" s="3" t="inlineStr">
        <is>
          <t>Graz</t>
        </is>
      </c>
      <c r="E154" s="10" t="n">
        <v>45667.37908564815</v>
      </c>
      <c r="F154" s="10" t="n">
        <v>45667.38939814815</v>
      </c>
      <c r="G154" s="10" t="n">
        <v>45667.39142361111</v>
      </c>
      <c r="H154" s="3" t="inlineStr">
        <is>
          <t>OBT100125134146-Graz</t>
        </is>
      </c>
      <c r="I154" s="10" t="n">
        <v>45667.59157407407</v>
      </c>
      <c r="J154" s="10" t="n">
        <v>45667.6137962963</v>
      </c>
      <c r="K154" s="10" t="n">
        <v>45667.6137962963</v>
      </c>
      <c r="L154" s="10" t="n">
        <v>45667.61464120371</v>
      </c>
      <c r="M154" s="11">
        <f>IF(AND(ISNUMBER(E154),ISNUMBER(G154)),(G154-E154),"")</f>
        <v/>
      </c>
      <c r="N154" s="11">
        <f>IF(AND(ISNUMBER(G154),ISNUMBER(L154)),(L154-G154),"")</f>
        <v/>
      </c>
      <c r="O154" s="10" t="n">
        <v>45667.39716435185</v>
      </c>
      <c r="P154" s="11">
        <f>IF(AND(ISNUMBER(I154),ISNUMBER(O154)),(I154-O154),"")</f>
        <v/>
      </c>
      <c r="Q154" s="12" t="inlineStr">
        <is>
          <t>WG 1204703 entered track and got secured then waited 4:00:49 for WG 1204901 to get coupled then waited 0:09:02 for WG 1204903 to get coupled, OBTP started on 14:11:52 finished on 14:43:52 and then left at 14:45:05</t>
        </is>
      </c>
    </row>
    <row r="155">
      <c r="A155" s="3" t="inlineStr">
        <is>
          <t>1204801</t>
        </is>
      </c>
      <c r="B155" s="3" t="inlineStr">
        <is>
          <t>12048</t>
        </is>
      </c>
      <c r="C155" s="9" t="n">
        <v>48</v>
      </c>
      <c r="D155" s="3" t="inlineStr">
        <is>
          <t>Linz</t>
        </is>
      </c>
      <c r="E155" s="10" t="n">
        <v>45667.54337962963</v>
      </c>
      <c r="F155" s="10" t="n">
        <v>45667.550625</v>
      </c>
      <c r="G155" s="10" t="n">
        <v>45667.55201388889</v>
      </c>
      <c r="H155" s="3" t="inlineStr">
        <is>
          <t>OBT100125133454-Linz</t>
        </is>
      </c>
      <c r="I155" s="10" t="n">
        <v>45667.56761574074</v>
      </c>
      <c r="J155" s="10" t="n">
        <v>45667.58983796297</v>
      </c>
      <c r="K155" s="10" t="n">
        <v>45667.58983796297</v>
      </c>
      <c r="L155" s="10" t="n">
        <v>45667.59060185185</v>
      </c>
      <c r="M155" s="11">
        <f>IF(AND(ISNUMBER(E155),ISNUMBER(G155)),(G155-E155),"")</f>
        <v/>
      </c>
      <c r="N155" s="11">
        <f>IF(AND(ISNUMBER(G155),ISNUMBER(L155)),(L155-G155),"")</f>
        <v/>
      </c>
      <c r="O155" s="10" t="n">
        <v>45667.56590277778</v>
      </c>
      <c r="P155" s="11">
        <f>IF(AND(ISNUMBER(I155),ISNUMBER(O155)),(I155-O155),"")</f>
        <v/>
      </c>
      <c r="Q155" s="12" t="inlineStr">
        <is>
          <t>WG 1204801 (already coupled to WG 1204802, WG 1204803 from the inbound train) entered track and got secured, OBTP started on 13:37:22 finished on 14:09:22 and then left at 14:10:28</t>
        </is>
      </c>
    </row>
    <row r="156">
      <c r="A156" s="3" t="inlineStr">
        <is>
          <t>1204802</t>
        </is>
      </c>
      <c r="B156" s="3" t="inlineStr">
        <is>
          <t>12048</t>
        </is>
      </c>
      <c r="C156" s="9" t="n">
        <v>48</v>
      </c>
      <c r="D156" s="3" t="inlineStr">
        <is>
          <t>Linz</t>
        </is>
      </c>
      <c r="E156" s="10" t="n">
        <v>45667.54337962963</v>
      </c>
      <c r="F156" s="10" t="n">
        <v>45667.550625</v>
      </c>
      <c r="G156" s="10" t="n">
        <v>45667.55201388889</v>
      </c>
      <c r="H156" s="3" t="inlineStr">
        <is>
          <t>OBT100125133454-Linz</t>
        </is>
      </c>
      <c r="I156" s="10" t="n">
        <v>45667.56761574074</v>
      </c>
      <c r="J156" s="10" t="n">
        <v>45667.58983796297</v>
      </c>
      <c r="K156" s="10" t="n">
        <v>45667.58983796297</v>
      </c>
      <c r="L156" s="10" t="n">
        <v>45667.59060185185</v>
      </c>
      <c r="M156" s="11">
        <f>IF(AND(ISNUMBER(E156),ISNUMBER(G156)),(G156-E156),"")</f>
        <v/>
      </c>
      <c r="N156" s="11">
        <f>IF(AND(ISNUMBER(G156),ISNUMBER(L156)),(L156-G156),"")</f>
        <v/>
      </c>
      <c r="O156" s="10" t="n">
        <v>45667.56590277778</v>
      </c>
      <c r="P156" s="11">
        <f>IF(AND(ISNUMBER(I156),ISNUMBER(O156)),(I156-O156),"")</f>
        <v/>
      </c>
      <c r="Q156" s="12" t="inlineStr">
        <is>
          <t>WG 1204802 (already coupled to WG 1204801, WG 1204803 from the inbound train) entered track and got secured, OBTP started on 13:37:22 finished on 14:09:22 and then left at 14:10:28</t>
        </is>
      </c>
    </row>
    <row r="157">
      <c r="A157" s="3" t="inlineStr">
        <is>
          <t>1204803</t>
        </is>
      </c>
      <c r="B157" s="3" t="inlineStr">
        <is>
          <t>12048</t>
        </is>
      </c>
      <c r="C157" s="9" t="n">
        <v>32</v>
      </c>
      <c r="D157" s="3" t="inlineStr">
        <is>
          <t>Linz</t>
        </is>
      </c>
      <c r="E157" s="10" t="n">
        <v>45667.54337962963</v>
      </c>
      <c r="F157" s="10" t="n">
        <v>45667.550625</v>
      </c>
      <c r="G157" s="10" t="n">
        <v>45667.55201388889</v>
      </c>
      <c r="H157" s="3" t="inlineStr">
        <is>
          <t>OBT100125133454-Linz</t>
        </is>
      </c>
      <c r="I157" s="10" t="n">
        <v>45667.56761574074</v>
      </c>
      <c r="J157" s="10" t="n">
        <v>45667.58983796297</v>
      </c>
      <c r="K157" s="10" t="n">
        <v>45667.58983796297</v>
      </c>
      <c r="L157" s="10" t="n">
        <v>45667.59060185185</v>
      </c>
      <c r="M157" s="11">
        <f>IF(AND(ISNUMBER(E157),ISNUMBER(G157)),(G157-E157),"")</f>
        <v/>
      </c>
      <c r="N157" s="11">
        <f>IF(AND(ISNUMBER(G157),ISNUMBER(L157)),(L157-G157),"")</f>
        <v/>
      </c>
      <c r="O157" s="10" t="n">
        <v>45667.56590277778</v>
      </c>
      <c r="P157" s="11">
        <f>IF(AND(ISNUMBER(I157),ISNUMBER(O157)),(I157-O157),"")</f>
        <v/>
      </c>
      <c r="Q157" s="12" t="inlineStr">
        <is>
          <t>WG 1204803 (already coupled to WG 1204801, WG 1204802 from the inbound train) entered track and got secured, OBTP started on 13:37:22 finished on 14:09:22 and then left at 14:10:28</t>
        </is>
      </c>
    </row>
    <row r="158">
      <c r="A158" s="3" t="inlineStr">
        <is>
          <t>1204804</t>
        </is>
      </c>
      <c r="B158" s="3" t="inlineStr">
        <is>
          <t>12048</t>
        </is>
      </c>
      <c r="C158" s="9" t="n">
        <v>80</v>
      </c>
      <c r="D158" s="3" t="inlineStr">
        <is>
          <t>Ljubljana</t>
        </is>
      </c>
      <c r="E158" s="10" t="n">
        <v>45667.54337962963</v>
      </c>
      <c r="F158" s="10" t="n">
        <v>45667.55201388889</v>
      </c>
      <c r="G158" s="10" t="n">
        <v>45667.55416666667</v>
      </c>
      <c r="H158" s="3" t="inlineStr">
        <is>
          <t>OBT100125133507-Ljubljana</t>
        </is>
      </c>
      <c r="I158" s="10" t="n">
        <v>45667.56783564815</v>
      </c>
      <c r="J158" s="10" t="n">
        <v>45667.5983912037</v>
      </c>
      <c r="K158" s="10" t="n">
        <v>45667.5983912037</v>
      </c>
      <c r="L158" s="10" t="n">
        <v>45667.59930555556</v>
      </c>
      <c r="M158" s="11">
        <f>IF(AND(ISNUMBER(E158),ISNUMBER(G158)),(G158-E158),"")</f>
        <v/>
      </c>
      <c r="N158" s="11">
        <f>IF(AND(ISNUMBER(G158),ISNUMBER(L158)),(L158-G158),"")</f>
        <v/>
      </c>
      <c r="O158" s="10" t="n">
        <v>45667.56605324074</v>
      </c>
      <c r="P158" s="11">
        <f>IF(AND(ISNUMBER(I158),ISNUMBER(O158)),(I158-O158),"")</f>
        <v/>
      </c>
      <c r="Q158" s="12" t="inlineStr">
        <is>
          <t>WG 1204804 entered track and got coupled to cut 1204203+1204204, OBTP started on 13:37:41 finished on 14:21:41 and then left at 14:23:00</t>
        </is>
      </c>
    </row>
    <row r="159">
      <c r="A159" s="3" t="inlineStr">
        <is>
          <t>1204805</t>
        </is>
      </c>
      <c r="B159" s="3" t="inlineStr">
        <is>
          <t>12048</t>
        </is>
      </c>
      <c r="C159" s="9" t="n">
        <v>32</v>
      </c>
      <c r="D159" s="3" t="inlineStr">
        <is>
          <t>Linz</t>
        </is>
      </c>
      <c r="E159" s="10" t="n">
        <v>45667.54337962963</v>
      </c>
      <c r="F159" s="10" t="n">
        <v>45667.55416666667</v>
      </c>
      <c r="G159" s="10" t="n">
        <v>45667.55578703704</v>
      </c>
      <c r="H159" s="3" t="inlineStr">
        <is>
          <t>OBT100125165346-Linz</t>
        </is>
      </c>
      <c r="I159" s="10" t="n">
        <v>45667.70574074074</v>
      </c>
      <c r="J159" s="10" t="n">
        <v>45667.73629629629</v>
      </c>
      <c r="K159" s="10" t="n">
        <v>45667.73629629629</v>
      </c>
      <c r="L159" s="10" t="n">
        <v>45667.73730324074</v>
      </c>
      <c r="M159" s="11">
        <f>IF(AND(ISNUMBER(E159),ISNUMBER(G159)),(G159-E159),"")</f>
        <v/>
      </c>
      <c r="N159" s="11">
        <f>IF(AND(ISNUMBER(G159),ISNUMBER(L159)),(L159-G159),"")</f>
        <v/>
      </c>
      <c r="O159" s="10" t="n">
        <v>45667.55991898148</v>
      </c>
      <c r="P159" s="11">
        <f>IF(AND(ISNUMBER(I159),ISNUMBER(O159)),(I159-O159),"")</f>
        <v/>
      </c>
      <c r="Q159" s="12" t="inlineStr">
        <is>
          <t>WG 1204805 entered track and got secured then waited 3:18:41 for WG 1205201 to get coupled then waited 0:08:48 for WG 1205203 to get coupled, OBTP started on 16:56:16 finished on 17:40:16 and then left at 17:41:43</t>
        </is>
      </c>
    </row>
    <row r="160">
      <c r="A160" s="3" t="inlineStr">
        <is>
          <t>1204901</t>
        </is>
      </c>
      <c r="B160" s="3" t="inlineStr">
        <is>
          <t>12049</t>
        </is>
      </c>
      <c r="C160" s="9" t="n">
        <v>32</v>
      </c>
      <c r="D160" s="3" t="inlineStr">
        <is>
          <t>Graz</t>
        </is>
      </c>
      <c r="E160" s="10" t="n">
        <v>45667.54377314815</v>
      </c>
      <c r="F160" s="10" t="n">
        <v>45667.55665509259</v>
      </c>
      <c r="G160" s="10" t="n">
        <v>45667.55864583333</v>
      </c>
      <c r="H160" s="3" t="inlineStr">
        <is>
          <t>OBT100125134146-Graz</t>
        </is>
      </c>
      <c r="I160" s="10" t="n">
        <v>45667.59157407407</v>
      </c>
      <c r="J160" s="10" t="n">
        <v>45667.6137962963</v>
      </c>
      <c r="K160" s="10" t="n">
        <v>45667.6137962963</v>
      </c>
      <c r="L160" s="10" t="n">
        <v>45667.61464120371</v>
      </c>
      <c r="M160" s="11">
        <f>IF(AND(ISNUMBER(E160),ISNUMBER(G160)),(G160-E160),"")</f>
        <v/>
      </c>
      <c r="N160" s="11">
        <f>IF(AND(ISNUMBER(G160),ISNUMBER(L160)),(L160-G160),"")</f>
        <v/>
      </c>
      <c r="O160" s="10" t="n">
        <v>45667.56439814815</v>
      </c>
      <c r="P160" s="11">
        <f>IF(AND(ISNUMBER(I160),ISNUMBER(O160)),(I160-O160),"")</f>
        <v/>
      </c>
      <c r="Q160" s="12" t="inlineStr">
        <is>
          <t>WG 1204901 entered track and got coupled to WG 1204703 then waited 0:09:02 for WG 1204903 to get coupled, OBTP started on 14:11:52 finished on 14:43:52 and then left at 14:45:05</t>
        </is>
      </c>
    </row>
    <row r="161">
      <c r="A161" s="3" t="inlineStr">
        <is>
          <t>1204902</t>
        </is>
      </c>
      <c r="B161" s="3" t="inlineStr">
        <is>
          <t>12049</t>
        </is>
      </c>
      <c r="C161" s="9" t="n">
        <v>32</v>
      </c>
      <c r="D161" s="3" t="inlineStr">
        <is>
          <t>Salzburg</t>
        </is>
      </c>
      <c r="E161" s="10" t="n">
        <v>45667.54377314815</v>
      </c>
      <c r="F161" s="10" t="n">
        <v>45667.55864583333</v>
      </c>
      <c r="G161" s="10" t="n">
        <v>45667.56043981481</v>
      </c>
      <c r="H161" s="3" t="inlineStr">
        <is>
          <t>OBT100125133517-Salzburg</t>
        </is>
      </c>
      <c r="I161" s="10" t="n">
        <v>45667.58241898148</v>
      </c>
      <c r="J161" s="10" t="n">
        <v>45667.6046412037</v>
      </c>
      <c r="K161" s="10" t="n">
        <v>45667.6046412037</v>
      </c>
      <c r="L161" s="10" t="n">
        <v>45667.60547453703</v>
      </c>
      <c r="M161" s="11">
        <f>IF(AND(ISNUMBER(E161),ISNUMBER(G161)),(G161-E161),"")</f>
        <v/>
      </c>
      <c r="N161" s="11">
        <f>IF(AND(ISNUMBER(G161),ISNUMBER(L161)),(L161-G161),"")</f>
        <v/>
      </c>
      <c r="O161" s="10" t="n">
        <v>45667.56616898148</v>
      </c>
      <c r="P161" s="11">
        <f>IF(AND(ISNUMBER(I161),ISNUMBER(O161)),(I161-O161),"")</f>
        <v/>
      </c>
      <c r="Q161" s="12" t="inlineStr">
        <is>
          <t>WG 1204902 entered track and got coupled to WG 1204602, OBTP started on 13:58:41 finished on 14:30:41 and then left at 14:31:53</t>
        </is>
      </c>
    </row>
    <row r="162">
      <c r="A162" s="3" t="inlineStr">
        <is>
          <t>1204903</t>
        </is>
      </c>
      <c r="B162" s="3" t="inlineStr">
        <is>
          <t>12049</t>
        </is>
      </c>
      <c r="C162" s="9" t="n">
        <v>48</v>
      </c>
      <c r="D162" s="3" t="inlineStr">
        <is>
          <t>Graz</t>
        </is>
      </c>
      <c r="E162" s="10" t="n">
        <v>45667.54377314815</v>
      </c>
      <c r="F162" s="10" t="n">
        <v>45667.56043981481</v>
      </c>
      <c r="G162" s="10" t="n">
        <v>45667.56246527778</v>
      </c>
      <c r="H162" s="3" t="inlineStr">
        <is>
          <t>OBT100125134146-Graz</t>
        </is>
      </c>
      <c r="I162" s="10" t="n">
        <v>45667.59157407407</v>
      </c>
      <c r="J162" s="10" t="n">
        <v>45667.6137962963</v>
      </c>
      <c r="K162" s="10" t="n">
        <v>45667.6137962963</v>
      </c>
      <c r="L162" s="10" t="n">
        <v>45667.61464120371</v>
      </c>
      <c r="M162" s="11">
        <f>IF(AND(ISNUMBER(E162),ISNUMBER(G162)),(G162-E162),"")</f>
        <v/>
      </c>
      <c r="N162" s="11">
        <f>IF(AND(ISNUMBER(G162),ISNUMBER(L162)),(L162-G162),"")</f>
        <v/>
      </c>
      <c r="O162" s="10" t="n">
        <v>45667.57067129629</v>
      </c>
      <c r="P162" s="11">
        <f>IF(AND(ISNUMBER(I162),ISNUMBER(O162)),(I162-O162),"")</f>
        <v/>
      </c>
      <c r="Q162" s="12" t="inlineStr">
        <is>
          <t>WG 1204903 entered track and got coupled to WG 1204901, OBTP started on 14:11:52 finished on 14:43:52 and then left at 14:45:05</t>
        </is>
      </c>
    </row>
    <row r="163">
      <c r="A163" s="3" t="inlineStr">
        <is>
          <t>1204904</t>
        </is>
      </c>
      <c r="B163" s="3" t="inlineStr">
        <is>
          <t>12049</t>
        </is>
      </c>
      <c r="C163" s="9" t="n">
        <v>64</v>
      </c>
      <c r="D163" s="3" t="inlineStr">
        <is>
          <t>Vienna</t>
        </is>
      </c>
      <c r="E163" s="10" t="n">
        <v>45667.54377314815</v>
      </c>
      <c r="F163" s="10" t="n">
        <v>45667.56246527778</v>
      </c>
      <c r="G163" s="10" t="n">
        <v>45667.56440972222</v>
      </c>
      <c r="H163" s="3" t="inlineStr">
        <is>
          <t>OBT100125135618-Vienna</t>
        </is>
      </c>
      <c r="I163" s="10" t="n">
        <v>45667.60006944444</v>
      </c>
      <c r="J163" s="10" t="n">
        <v>45667.630625</v>
      </c>
      <c r="K163" s="10" t="n">
        <v>45667.630625</v>
      </c>
      <c r="L163" s="10" t="n">
        <v>45667.63162037037</v>
      </c>
      <c r="M163" s="11">
        <f>IF(AND(ISNUMBER(E163),ISNUMBER(G163)),(G163-E163),"")</f>
        <v/>
      </c>
      <c r="N163" s="11">
        <f>IF(AND(ISNUMBER(G163),ISNUMBER(L163)),(L163-G163),"")</f>
        <v/>
      </c>
      <c r="O163" s="10" t="n">
        <v>45667.58076388889</v>
      </c>
      <c r="P163" s="11">
        <f>IF(AND(ISNUMBER(I163),ISNUMBER(O163)),(I163-O163),"")</f>
        <v/>
      </c>
      <c r="Q163" s="12" t="inlineStr">
        <is>
          <t>WG 1204904 (already coupled to WG 1204905 from the inbound train) entered track and got coupled to WG 1204501, OBTP started on 14:24:06 finished on 15:08:06 and then left at 15:09:32</t>
        </is>
      </c>
    </row>
    <row r="164">
      <c r="A164" s="3" t="inlineStr">
        <is>
          <t>1204905</t>
        </is>
      </c>
      <c r="B164" s="3" t="inlineStr">
        <is>
          <t>12049</t>
        </is>
      </c>
      <c r="C164" s="9" t="n">
        <v>48</v>
      </c>
      <c r="D164" s="3" t="inlineStr">
        <is>
          <t>Vienna</t>
        </is>
      </c>
      <c r="E164" s="10" t="n">
        <v>45667.54377314815</v>
      </c>
      <c r="F164" s="10" t="n">
        <v>45667.56246527778</v>
      </c>
      <c r="G164" s="10" t="n">
        <v>45667.56440972222</v>
      </c>
      <c r="H164" s="3" t="inlineStr">
        <is>
          <t>OBT100125135618-Vienna</t>
        </is>
      </c>
      <c r="I164" s="10" t="n">
        <v>45667.60006944444</v>
      </c>
      <c r="J164" s="10" t="n">
        <v>45667.630625</v>
      </c>
      <c r="K164" s="10" t="n">
        <v>45667.630625</v>
      </c>
      <c r="L164" s="10" t="n">
        <v>45667.63162037037</v>
      </c>
      <c r="M164" s="11">
        <f>IF(AND(ISNUMBER(E164),ISNUMBER(G164)),(G164-E164),"")</f>
        <v/>
      </c>
      <c r="N164" s="11">
        <f>IF(AND(ISNUMBER(G164),ISNUMBER(L164)),(L164-G164),"")</f>
        <v/>
      </c>
      <c r="O164" s="10" t="n">
        <v>45667.58076388889</v>
      </c>
      <c r="P164" s="11">
        <f>IF(AND(ISNUMBER(I164),ISNUMBER(O164)),(I164-O164),"")</f>
        <v/>
      </c>
      <c r="Q164" s="12" t="inlineStr">
        <is>
          <t>WG 1204905 (already coupled to WG 1204904 from the inbound train) entered track and got coupled to WG 1204501, OBTP started on 14:24:06 finished on 15:08:06 and then left at 15:09:32</t>
        </is>
      </c>
    </row>
    <row r="165">
      <c r="A165" s="3" t="inlineStr">
        <is>
          <t>1205001</t>
        </is>
      </c>
      <c r="B165" s="3" t="inlineStr">
        <is>
          <t>12050</t>
        </is>
      </c>
      <c r="C165" s="9" t="n">
        <v>32</v>
      </c>
      <c r="D165" s="3" t="inlineStr">
        <is>
          <t>Ljubljana</t>
        </is>
      </c>
      <c r="E165" s="10" t="n">
        <v>45667.62707175926</v>
      </c>
      <c r="F165" s="10" t="n">
        <v>45667.6346875</v>
      </c>
      <c r="G165" s="10" t="n">
        <v>45667.6358912037</v>
      </c>
      <c r="H165" s="3" t="inlineStr">
        <is>
          <t>OBT110125063829-Ljubljana</t>
        </is>
      </c>
      <c r="I165" s="10" t="n">
        <v>45668.27756944444</v>
      </c>
      <c r="J165" s="10" t="n">
        <v>45668.29701388889</v>
      </c>
      <c r="K165" s="10" t="n">
        <v>45668.29701388889</v>
      </c>
      <c r="L165" s="10" t="n">
        <v>45668.29773148148</v>
      </c>
      <c r="M165" s="11">
        <f>IF(AND(ISNUMBER(E165),ISNUMBER(G165)),(G165-E165),"")</f>
        <v/>
      </c>
      <c r="N165" s="11">
        <f>IF(AND(ISNUMBER(G165),ISNUMBER(L165)),(L165-G165),"")</f>
        <v/>
      </c>
      <c r="O165" s="10" t="n">
        <v>45667.64001157408</v>
      </c>
      <c r="P165" s="11">
        <f>IF(AND(ISNUMBER(I165),ISNUMBER(O165)),(I165-O165),"")</f>
        <v/>
      </c>
      <c r="Q165" s="12" t="inlineStr">
        <is>
          <t>WG 1205001 entered track and got secured then waited 1:56:10 for WG 1205302 to get coupled then waited 13:20:42 for WG 1205701 to get coupled, OBTP started on 06:39:42 finished on 07:07:42 and then left at 07:08:44</t>
        </is>
      </c>
    </row>
    <row r="166">
      <c r="A166" s="3" t="inlineStr">
        <is>
          <t>1205002</t>
        </is>
      </c>
      <c r="B166" s="3" t="inlineStr">
        <is>
          <t>12050</t>
        </is>
      </c>
      <c r="C166" s="9" t="n">
        <v>48</v>
      </c>
      <c r="D166" s="3" t="inlineStr">
        <is>
          <t>Budapest</t>
        </is>
      </c>
      <c r="E166" s="10" t="n">
        <v>45667.62707175926</v>
      </c>
      <c r="F166" s="10" t="n">
        <v>45667.6358912037</v>
      </c>
      <c r="G166" s="10" t="n">
        <v>45667.6372337963</v>
      </c>
      <c r="H166" s="3" t="inlineStr">
        <is>
          <t>OBT100125152926-Budapest</t>
        </is>
      </c>
      <c r="I166" s="10" t="n">
        <v>45667.64630787037</v>
      </c>
      <c r="J166" s="10" t="n">
        <v>45667.66853009259</v>
      </c>
      <c r="K166" s="10" t="n">
        <v>45667.66853009259</v>
      </c>
      <c r="L166" s="10" t="n">
        <v>45667.66924768518</v>
      </c>
      <c r="M166" s="11">
        <f>IF(AND(ISNUMBER(E166),ISNUMBER(G166)),(G166-E166),"")</f>
        <v/>
      </c>
      <c r="N166" s="11">
        <f>IF(AND(ISNUMBER(G166),ISNUMBER(L166)),(L166-G166),"")</f>
        <v/>
      </c>
      <c r="O166" s="10" t="n">
        <v>45667.64543981481</v>
      </c>
      <c r="P166" s="11">
        <f>IF(AND(ISNUMBER(I166),ISNUMBER(O166)),(I166-O166),"")</f>
        <v/>
      </c>
      <c r="Q166" s="12" t="inlineStr">
        <is>
          <t>WG 1205002 entered track and got coupled to WG 1204601, OBTP started on 15:30:41 finished on 16:02:41 and then left at 16:03:43</t>
        </is>
      </c>
    </row>
    <row r="167">
      <c r="A167" s="3" t="inlineStr">
        <is>
          <t>1205003</t>
        </is>
      </c>
      <c r="B167" s="3" t="inlineStr">
        <is>
          <t>12050</t>
        </is>
      </c>
      <c r="C167" s="9" t="n">
        <v>48</v>
      </c>
      <c r="D167" s="3" t="inlineStr">
        <is>
          <t>Graz</t>
        </is>
      </c>
      <c r="E167" s="10" t="n">
        <v>45667.62707175926</v>
      </c>
      <c r="F167" s="10" t="n">
        <v>45667.6372337963</v>
      </c>
      <c r="G167" s="10" t="n">
        <v>45667.63952546296</v>
      </c>
      <c r="H167" s="3" t="inlineStr">
        <is>
          <t>OBT100125154054-Graz</t>
        </is>
      </c>
      <c r="I167" s="10" t="n">
        <v>45667.65427083334</v>
      </c>
      <c r="J167" s="10" t="n">
        <v>45667.67649305556</v>
      </c>
      <c r="K167" s="10" t="n">
        <v>45667.67649305556</v>
      </c>
      <c r="L167" s="10" t="n">
        <v>45667.67728009259</v>
      </c>
      <c r="M167" s="11">
        <f>IF(AND(ISNUMBER(E167),ISNUMBER(G167)),(G167-E167),"")</f>
        <v/>
      </c>
      <c r="N167" s="11">
        <f>IF(AND(ISNUMBER(G167),ISNUMBER(L167)),(L167-G167),"")</f>
        <v/>
      </c>
      <c r="O167" s="10" t="n">
        <v>45667.65340277777</v>
      </c>
      <c r="P167" s="11">
        <f>IF(AND(ISNUMBER(I167),ISNUMBER(O167)),(I167-O167),"")</f>
        <v/>
      </c>
      <c r="Q167" s="12" t="inlineStr">
        <is>
          <t>WG 1205003 (already coupled to WG 1205004 from the inbound train) entered track and got secured, OBTP started on 15:42:09 finished on 16:14:09 and then left at 16:15:17</t>
        </is>
      </c>
    </row>
    <row r="168">
      <c r="A168" s="3" t="inlineStr">
        <is>
          <t>1205004</t>
        </is>
      </c>
      <c r="B168" s="3" t="inlineStr">
        <is>
          <t>12050</t>
        </is>
      </c>
      <c r="C168" s="9" t="n">
        <v>80</v>
      </c>
      <c r="D168" s="3" t="inlineStr">
        <is>
          <t>Graz</t>
        </is>
      </c>
      <c r="E168" s="10" t="n">
        <v>45667.62707175926</v>
      </c>
      <c r="F168" s="10" t="n">
        <v>45667.6372337963</v>
      </c>
      <c r="G168" s="10" t="n">
        <v>45667.63952546296</v>
      </c>
      <c r="H168" s="3" t="inlineStr">
        <is>
          <t>OBT100125154054-Graz</t>
        </is>
      </c>
      <c r="I168" s="10" t="n">
        <v>45667.65427083334</v>
      </c>
      <c r="J168" s="10" t="n">
        <v>45667.67649305556</v>
      </c>
      <c r="K168" s="10" t="n">
        <v>45667.67649305556</v>
      </c>
      <c r="L168" s="10" t="n">
        <v>45667.67728009259</v>
      </c>
      <c r="M168" s="11">
        <f>IF(AND(ISNUMBER(E168),ISNUMBER(G168)),(G168-E168),"")</f>
        <v/>
      </c>
      <c r="N168" s="11">
        <f>IF(AND(ISNUMBER(G168),ISNUMBER(L168)),(L168-G168),"")</f>
        <v/>
      </c>
      <c r="O168" s="10" t="n">
        <v>45667.65340277777</v>
      </c>
      <c r="P168" s="11">
        <f>IF(AND(ISNUMBER(I168),ISNUMBER(O168)),(I168-O168),"")</f>
        <v/>
      </c>
      <c r="Q168" s="12" t="inlineStr">
        <is>
          <t>WG 1205004 (already coupled to WG 1205003 from the inbound train) entered track and got secured, OBTP started on 15:42:09 finished on 16:14:09 and then left at 16:15:17</t>
        </is>
      </c>
    </row>
    <row r="169">
      <c r="A169" s="3" t="inlineStr">
        <is>
          <t>1205101</t>
        </is>
      </c>
      <c r="B169" s="3" t="inlineStr">
        <is>
          <t>12051</t>
        </is>
      </c>
      <c r="C169" s="9" t="n">
        <v>32</v>
      </c>
      <c r="D169" s="3" t="inlineStr">
        <is>
          <t>Salzburg</t>
        </is>
      </c>
      <c r="E169" s="10" t="n">
        <v>45667.65542824074</v>
      </c>
      <c r="F169" s="10" t="n">
        <v>45667.66145833334</v>
      </c>
      <c r="G169" s="10" t="n">
        <v>45667.66351851852</v>
      </c>
      <c r="H169" s="3" t="inlineStr">
        <is>
          <t>OBT100125162009-Salzburg</t>
        </is>
      </c>
      <c r="I169" s="10" t="n">
        <v>45667.68152777778</v>
      </c>
      <c r="J169" s="10" t="n">
        <v>45667.70930555555</v>
      </c>
      <c r="K169" s="10" t="n">
        <v>45667.70930555555</v>
      </c>
      <c r="L169" s="10" t="n">
        <v>45667.71026620371</v>
      </c>
      <c r="M169" s="11">
        <f>IF(AND(ISNUMBER(E169),ISNUMBER(G169)),(G169-E169),"")</f>
        <v/>
      </c>
      <c r="N169" s="11">
        <f>IF(AND(ISNUMBER(G169),ISNUMBER(L169)),(L169-G169),"")</f>
        <v/>
      </c>
      <c r="O169" s="10" t="n">
        <v>45667.68065972222</v>
      </c>
      <c r="P169" s="11">
        <f>IF(AND(ISNUMBER(I169),ISNUMBER(O169)),(I169-O169),"")</f>
        <v/>
      </c>
      <c r="Q169" s="12" t="inlineStr">
        <is>
          <t>WG 1205101 (already coupled to WG 1205102, WG 1205103 from the inbound train) entered track and got secured, OBTP started on 16:21:24 finished on 17:01:24 and then left at 17:02:47</t>
        </is>
      </c>
    </row>
    <row r="170">
      <c r="A170" s="3" t="inlineStr">
        <is>
          <t>1205102</t>
        </is>
      </c>
      <c r="B170" s="3" t="inlineStr">
        <is>
          <t>12051</t>
        </is>
      </c>
      <c r="C170" s="9" t="n">
        <v>64</v>
      </c>
      <c r="D170" s="3" t="inlineStr">
        <is>
          <t>Salzburg</t>
        </is>
      </c>
      <c r="E170" s="10" t="n">
        <v>45667.65542824074</v>
      </c>
      <c r="F170" s="10" t="n">
        <v>45667.66145833334</v>
      </c>
      <c r="G170" s="10" t="n">
        <v>45667.66351851852</v>
      </c>
      <c r="H170" s="3" t="inlineStr">
        <is>
          <t>OBT100125162009-Salzburg</t>
        </is>
      </c>
      <c r="I170" s="10" t="n">
        <v>45667.68152777778</v>
      </c>
      <c r="J170" s="10" t="n">
        <v>45667.70930555555</v>
      </c>
      <c r="K170" s="10" t="n">
        <v>45667.70930555555</v>
      </c>
      <c r="L170" s="10" t="n">
        <v>45667.71026620371</v>
      </c>
      <c r="M170" s="11">
        <f>IF(AND(ISNUMBER(E170),ISNUMBER(G170)),(G170-E170),"")</f>
        <v/>
      </c>
      <c r="N170" s="11">
        <f>IF(AND(ISNUMBER(G170),ISNUMBER(L170)),(L170-G170),"")</f>
        <v/>
      </c>
      <c r="O170" s="10" t="n">
        <v>45667.68065972222</v>
      </c>
      <c r="P170" s="11">
        <f>IF(AND(ISNUMBER(I170),ISNUMBER(O170)),(I170-O170),"")</f>
        <v/>
      </c>
      <c r="Q170" s="12" t="inlineStr">
        <is>
          <t>WG 1205102 (already coupled to WG 1205101, WG 1205103 from the inbound train) entered track and got secured, OBTP started on 16:21:24 finished on 17:01:24 and then left at 17:02:47</t>
        </is>
      </c>
    </row>
    <row r="171">
      <c r="A171" s="3" t="inlineStr">
        <is>
          <t>1205103</t>
        </is>
      </c>
      <c r="B171" s="3" t="inlineStr">
        <is>
          <t>12051</t>
        </is>
      </c>
      <c r="C171" s="9" t="n">
        <v>64</v>
      </c>
      <c r="D171" s="3" t="inlineStr">
        <is>
          <t>Salzburg</t>
        </is>
      </c>
      <c r="E171" s="10" t="n">
        <v>45667.65542824074</v>
      </c>
      <c r="F171" s="10" t="n">
        <v>45667.66145833334</v>
      </c>
      <c r="G171" s="10" t="n">
        <v>45667.66351851852</v>
      </c>
      <c r="H171" s="3" t="inlineStr">
        <is>
          <t>OBT100125162009-Salzburg</t>
        </is>
      </c>
      <c r="I171" s="10" t="n">
        <v>45667.68152777778</v>
      </c>
      <c r="J171" s="10" t="n">
        <v>45667.70930555555</v>
      </c>
      <c r="K171" s="10" t="n">
        <v>45667.70930555555</v>
      </c>
      <c r="L171" s="10" t="n">
        <v>45667.71026620371</v>
      </c>
      <c r="M171" s="11">
        <f>IF(AND(ISNUMBER(E171),ISNUMBER(G171)),(G171-E171),"")</f>
        <v/>
      </c>
      <c r="N171" s="11">
        <f>IF(AND(ISNUMBER(G171),ISNUMBER(L171)),(L171-G171),"")</f>
        <v/>
      </c>
      <c r="O171" s="10" t="n">
        <v>45667.68065972222</v>
      </c>
      <c r="P171" s="11">
        <f>IF(AND(ISNUMBER(I171),ISNUMBER(O171)),(I171-O171),"")</f>
        <v/>
      </c>
      <c r="Q171" s="12" t="inlineStr">
        <is>
          <t>WG 1205103 (already coupled to WG 1205101, WG 1205102 from the inbound train) entered track and got secured, OBTP started on 16:21:24 finished on 17:01:24 and then left at 17:02:47</t>
        </is>
      </c>
    </row>
    <row r="172">
      <c r="A172" s="3" t="inlineStr">
        <is>
          <t>1205201</t>
        </is>
      </c>
      <c r="B172" s="3" t="inlineStr">
        <is>
          <t>12052</t>
        </is>
      </c>
      <c r="C172" s="9" t="n">
        <v>64</v>
      </c>
      <c r="D172" s="3" t="inlineStr">
        <is>
          <t>Linz</t>
        </is>
      </c>
      <c r="E172" s="10" t="n">
        <v>45667.67780092593</v>
      </c>
      <c r="F172" s="10" t="n">
        <v>45667.68555555555</v>
      </c>
      <c r="G172" s="10" t="n">
        <v>45667.68728009259</v>
      </c>
      <c r="H172" s="3" t="inlineStr">
        <is>
          <t>OBT100125165346-Linz</t>
        </is>
      </c>
      <c r="I172" s="10" t="n">
        <v>45667.70574074074</v>
      </c>
      <c r="J172" s="10" t="n">
        <v>45667.73629629629</v>
      </c>
      <c r="K172" s="10" t="n">
        <v>45667.73629629629</v>
      </c>
      <c r="L172" s="10" t="n">
        <v>45667.73730324074</v>
      </c>
      <c r="M172" s="11">
        <f>IF(AND(ISNUMBER(E172),ISNUMBER(G172)),(G172-E172),"")</f>
        <v/>
      </c>
      <c r="N172" s="11">
        <f>IF(AND(ISNUMBER(G172),ISNUMBER(L172)),(L172-G172),"")</f>
        <v/>
      </c>
      <c r="O172" s="10" t="n">
        <v>45667.69789351852</v>
      </c>
      <c r="P172" s="11">
        <f>IF(AND(ISNUMBER(I172),ISNUMBER(O172)),(I172-O172),"")</f>
        <v/>
      </c>
      <c r="Q172" s="12" t="inlineStr">
        <is>
          <t>WG 1205201 entered track and got coupled to WG 1204805 then waited 0:08:48 for WG 1205203 to get coupled, OBTP started on 16:56:16 finished on 17:40:16 and then left at 17:41:43</t>
        </is>
      </c>
    </row>
    <row r="173">
      <c r="A173" s="3" t="inlineStr">
        <is>
          <t>1205202</t>
        </is>
      </c>
      <c r="B173" s="3" t="inlineStr">
        <is>
          <t>12052</t>
        </is>
      </c>
      <c r="C173" s="9" t="n">
        <v>80</v>
      </c>
      <c r="D173" s="3" t="inlineStr">
        <is>
          <t>Innsbruck</t>
        </is>
      </c>
      <c r="E173" s="10" t="n">
        <v>45667.67780092593</v>
      </c>
      <c r="F173" s="10" t="n">
        <v>45667.68728009259</v>
      </c>
      <c r="G173" s="10" t="n">
        <v>45667.68915509259</v>
      </c>
      <c r="H173" s="3" t="inlineStr">
        <is>
          <t>OBT100125165112-Innsbruck</t>
        </is>
      </c>
      <c r="I173" s="10" t="n">
        <v>45667.70305555555</v>
      </c>
      <c r="J173" s="10" t="n">
        <v>45667.73083333333</v>
      </c>
      <c r="K173" s="10" t="n">
        <v>45667.73083333333</v>
      </c>
      <c r="L173" s="10" t="n">
        <v>45667.73171296297</v>
      </c>
      <c r="M173" s="11">
        <f>IF(AND(ISNUMBER(E173),ISNUMBER(G173)),(G173-E173),"")</f>
        <v/>
      </c>
      <c r="N173" s="11">
        <f>IF(AND(ISNUMBER(G173),ISNUMBER(L173)),(L173-G173),"")</f>
        <v/>
      </c>
      <c r="O173" s="10" t="n">
        <v>45667.70222222222</v>
      </c>
      <c r="P173" s="11">
        <f>IF(AND(ISNUMBER(I173),ISNUMBER(O173)),(I173-O173),"")</f>
        <v/>
      </c>
      <c r="Q173" s="12" t="inlineStr">
        <is>
          <t>WG 1205202 entered track and got coupled to WG 1204403, OBTP started on 16:52:24 finished on 17:32:24 and then left at 17:33:40</t>
        </is>
      </c>
    </row>
    <row r="174">
      <c r="A174" s="3" t="inlineStr">
        <is>
          <t>1205203</t>
        </is>
      </c>
      <c r="B174" s="3" t="inlineStr">
        <is>
          <t>12052</t>
        </is>
      </c>
      <c r="C174" s="9" t="n">
        <v>80</v>
      </c>
      <c r="D174" s="3" t="inlineStr">
        <is>
          <t>Linz</t>
        </is>
      </c>
      <c r="E174" s="10" t="n">
        <v>45667.67780092593</v>
      </c>
      <c r="F174" s="10" t="n">
        <v>45667.68915509259</v>
      </c>
      <c r="G174" s="10" t="n">
        <v>45667.69091435185</v>
      </c>
      <c r="H174" s="3" t="inlineStr">
        <is>
          <t>OBT100125165346-Linz</t>
        </is>
      </c>
      <c r="I174" s="10" t="n">
        <v>45667.70574074074</v>
      </c>
      <c r="J174" s="10" t="n">
        <v>45667.73629629629</v>
      </c>
      <c r="K174" s="10" t="n">
        <v>45667.73629629629</v>
      </c>
      <c r="L174" s="10" t="n">
        <v>45667.73730324074</v>
      </c>
      <c r="M174" s="11">
        <f>IF(AND(ISNUMBER(E174),ISNUMBER(G174)),(G174-E174),"")</f>
        <v/>
      </c>
      <c r="N174" s="11">
        <f>IF(AND(ISNUMBER(G174),ISNUMBER(L174)),(L174-G174),"")</f>
        <v/>
      </c>
      <c r="O174" s="10" t="n">
        <v>45667.70400462963</v>
      </c>
      <c r="P174" s="11">
        <f>IF(AND(ISNUMBER(I174),ISNUMBER(O174)),(I174-O174),"")</f>
        <v/>
      </c>
      <c r="Q174" s="12" t="inlineStr">
        <is>
          <t>WG 1205203 entered track and got coupled to WG 1205201, OBTP started on 16:56:16 finished on 17:40:16 and then left at 17:41:43</t>
        </is>
      </c>
    </row>
    <row r="175">
      <c r="A175" s="3" t="inlineStr">
        <is>
          <t>1205301</t>
        </is>
      </c>
      <c r="B175" s="3" t="inlineStr">
        <is>
          <t>12053</t>
        </is>
      </c>
      <c r="C175" s="9" t="n">
        <v>48</v>
      </c>
      <c r="D175" s="3" t="inlineStr">
        <is>
          <t>Budapest</t>
        </is>
      </c>
      <c r="E175" s="10" t="n">
        <v>45667.70605324074</v>
      </c>
      <c r="F175" s="10" t="n">
        <v>45667.71289351852</v>
      </c>
      <c r="G175" s="10" t="n">
        <v>45667.71424768519</v>
      </c>
      <c r="H175" s="3" t="inlineStr">
        <is>
          <t>OBT110125122417-Budapest</t>
        </is>
      </c>
      <c r="I175" s="10" t="n">
        <v>45668.51773148148</v>
      </c>
      <c r="J175" s="10" t="n">
        <v>45668.5399537037</v>
      </c>
      <c r="K175" s="10" t="n">
        <v>45668.5399537037</v>
      </c>
      <c r="L175" s="10" t="n">
        <v>45668.54067129629</v>
      </c>
      <c r="M175" s="11">
        <f>IF(AND(ISNUMBER(E175),ISNUMBER(G175)),(G175-E175),"")</f>
        <v/>
      </c>
      <c r="N175" s="11">
        <f>IF(AND(ISNUMBER(G175),ISNUMBER(L175)),(L175-G175),"")</f>
        <v/>
      </c>
      <c r="O175" s="10" t="n">
        <v>45667.72</v>
      </c>
      <c r="P175" s="11">
        <f>IF(AND(ISNUMBER(I175),ISNUMBER(O175)),(I175-O175),"")</f>
        <v/>
      </c>
      <c r="Q175" s="12" t="inlineStr">
        <is>
          <t>WG 1205301 entered track and got secured then waited 0:13:04 for WG 1205303 to get coupled then waited 18:54:25 for WG 1206102 to get coupled, OBTP started on 12:25:32 finished on 12:57:32 and then left at 12:58:34</t>
        </is>
      </c>
    </row>
    <row r="176">
      <c r="A176" s="3" t="inlineStr">
        <is>
          <t>1205302</t>
        </is>
      </c>
      <c r="B176" s="3" t="inlineStr">
        <is>
          <t>12053</t>
        </is>
      </c>
      <c r="C176" s="9" t="n">
        <v>32</v>
      </c>
      <c r="D176" s="3" t="inlineStr">
        <is>
          <t>Ljubljana</t>
        </is>
      </c>
      <c r="E176" s="10" t="n">
        <v>45667.70605324074</v>
      </c>
      <c r="F176" s="10" t="n">
        <v>45667.71424768519</v>
      </c>
      <c r="G176" s="10" t="n">
        <v>45667.71545138889</v>
      </c>
      <c r="H176" s="3" t="inlineStr">
        <is>
          <t>OBT110125063829-Ljubljana</t>
        </is>
      </c>
      <c r="I176" s="10" t="n">
        <v>45668.27756944444</v>
      </c>
      <c r="J176" s="10" t="n">
        <v>45668.29701388889</v>
      </c>
      <c r="K176" s="10" t="n">
        <v>45668.29701388889</v>
      </c>
      <c r="L176" s="10" t="n">
        <v>45668.29773148148</v>
      </c>
      <c r="M176" s="11">
        <f>IF(AND(ISNUMBER(E176),ISNUMBER(G176)),(G176-E176),"")</f>
        <v/>
      </c>
      <c r="N176" s="11">
        <f>IF(AND(ISNUMBER(G176),ISNUMBER(L176)),(L176-G176),"")</f>
        <v/>
      </c>
      <c r="O176" s="10" t="n">
        <v>45667.72068287037</v>
      </c>
      <c r="P176" s="11">
        <f>IF(AND(ISNUMBER(I176),ISNUMBER(O176)),(I176-O176),"")</f>
        <v/>
      </c>
      <c r="Q176" s="12" t="inlineStr">
        <is>
          <t>WG 1205302 entered track and got coupled to WG 1205001 then waited 13:20:42 for WG 1205701 to get coupled, OBTP started on 06:39:42 finished on 07:07:42 and then left at 07:08:44</t>
        </is>
      </c>
    </row>
    <row r="177">
      <c r="A177" s="3" t="inlineStr">
        <is>
          <t>1205303</t>
        </is>
      </c>
      <c r="B177" s="3" t="inlineStr">
        <is>
          <t>12053</t>
        </is>
      </c>
      <c r="C177" s="9" t="n">
        <v>48</v>
      </c>
      <c r="D177" s="3" t="inlineStr">
        <is>
          <t>Budapest</t>
        </is>
      </c>
      <c r="E177" s="10" t="n">
        <v>45667.70605324074</v>
      </c>
      <c r="F177" s="10" t="n">
        <v>45667.71545138889</v>
      </c>
      <c r="G177" s="10" t="n">
        <v>45667.71679398148</v>
      </c>
      <c r="H177" s="3" t="inlineStr">
        <is>
          <t>OBT110125122417-Budapest</t>
        </is>
      </c>
      <c r="I177" s="10" t="n">
        <v>45668.51773148148</v>
      </c>
      <c r="J177" s="10" t="n">
        <v>45668.5399537037</v>
      </c>
      <c r="K177" s="10" t="n">
        <v>45668.5399537037</v>
      </c>
      <c r="L177" s="10" t="n">
        <v>45668.54067129629</v>
      </c>
      <c r="M177" s="11">
        <f>IF(AND(ISNUMBER(E177),ISNUMBER(G177)),(G177-E177),"")</f>
        <v/>
      </c>
      <c r="N177" s="11">
        <f>IF(AND(ISNUMBER(G177),ISNUMBER(L177)),(L177-G177),"")</f>
        <v/>
      </c>
      <c r="O177" s="10" t="n">
        <v>45667.72907407407</v>
      </c>
      <c r="P177" s="11">
        <f>IF(AND(ISNUMBER(I177),ISNUMBER(O177)),(I177-O177),"")</f>
        <v/>
      </c>
      <c r="Q177" s="12" t="inlineStr">
        <is>
          <t>WG 1205303 entered track and got coupled to WG 1205301 then waited 18:54:25 for WG 1206102 to get coupled, OBTP started on 12:25:32 finished on 12:57:32 and then left at 12:58:34</t>
        </is>
      </c>
    </row>
    <row r="178">
      <c r="A178" s="3" t="inlineStr">
        <is>
          <t>1205401</t>
        </is>
      </c>
      <c r="B178" s="3" t="inlineStr">
        <is>
          <t>12054</t>
        </is>
      </c>
      <c r="C178" s="9" t="n">
        <v>48</v>
      </c>
      <c r="D178" s="3" t="inlineStr">
        <is>
          <t>Salzburg</t>
        </is>
      </c>
      <c r="E178" s="10" t="n">
        <v>45667.83525462963</v>
      </c>
      <c r="F178" s="10" t="n">
        <v>45667.84122685185</v>
      </c>
      <c r="G178" s="10" t="n">
        <v>45667.8434375</v>
      </c>
      <c r="H178" s="3" t="inlineStr">
        <is>
          <t>OBT110125074027-Salzburg</t>
        </is>
      </c>
      <c r="I178" s="10" t="n">
        <v>45668.3246875</v>
      </c>
      <c r="J178" s="10" t="n">
        <v>45668.34690972222</v>
      </c>
      <c r="K178" s="10" t="n">
        <v>45668.34690972222</v>
      </c>
      <c r="L178" s="10" t="n">
        <v>45668.34769675926</v>
      </c>
      <c r="M178" s="11">
        <f>IF(AND(ISNUMBER(E178),ISNUMBER(G178)),(G178-E178),"")</f>
        <v/>
      </c>
      <c r="N178" s="11">
        <f>IF(AND(ISNUMBER(G178),ISNUMBER(L178)),(L178-G178),"")</f>
        <v/>
      </c>
      <c r="O178" s="10" t="n">
        <v>45667.85408564815</v>
      </c>
      <c r="P178" s="11">
        <f>IF(AND(ISNUMBER(I178),ISNUMBER(O178)),(I178-O178),"")</f>
        <v/>
      </c>
      <c r="Q178" s="12" t="inlineStr">
        <is>
          <t>WG 1205401 (already coupled to WG 1205402 from the inbound train) entered track and got secured then waited 11:10:34 for WG 1206001 to get coupled, OBTP started on 07:47:33 finished on 08:19:33 and then left at 08:20:41</t>
        </is>
      </c>
    </row>
    <row r="179">
      <c r="A179" s="3" t="inlineStr">
        <is>
          <t>1205402</t>
        </is>
      </c>
      <c r="B179" s="3" t="inlineStr">
        <is>
          <t>12054</t>
        </is>
      </c>
      <c r="C179" s="9" t="n">
        <v>48</v>
      </c>
      <c r="D179" s="3" t="inlineStr">
        <is>
          <t>Salzburg</t>
        </is>
      </c>
      <c r="E179" s="10" t="n">
        <v>45667.83525462963</v>
      </c>
      <c r="F179" s="10" t="n">
        <v>45667.84122685185</v>
      </c>
      <c r="G179" s="10" t="n">
        <v>45667.8434375</v>
      </c>
      <c r="H179" s="3" t="inlineStr">
        <is>
          <t>OBT110125074027-Salzburg</t>
        </is>
      </c>
      <c r="I179" s="10" t="n">
        <v>45668.3246875</v>
      </c>
      <c r="J179" s="10" t="n">
        <v>45668.34690972222</v>
      </c>
      <c r="K179" s="10" t="n">
        <v>45668.34690972222</v>
      </c>
      <c r="L179" s="10" t="n">
        <v>45668.34769675926</v>
      </c>
      <c r="M179" s="11">
        <f>IF(AND(ISNUMBER(E179),ISNUMBER(G179)),(G179-E179),"")</f>
        <v/>
      </c>
      <c r="N179" s="11">
        <f>IF(AND(ISNUMBER(G179),ISNUMBER(L179)),(L179-G179),"")</f>
        <v/>
      </c>
      <c r="O179" s="10" t="n">
        <v>45667.85408564815</v>
      </c>
      <c r="P179" s="11">
        <f>IF(AND(ISNUMBER(I179),ISNUMBER(O179)),(I179-O179),"")</f>
        <v/>
      </c>
      <c r="Q179" s="12" t="inlineStr">
        <is>
          <t>WG 1205402 (already coupled to WG 1205401 from the inbound train) entered track and got secured then waited 11:10:34 for WG 1206001 to get coupled, OBTP started on 07:47:33 finished on 08:19:33 and then left at 08:20:41</t>
        </is>
      </c>
    </row>
    <row r="180">
      <c r="A180" s="3" t="inlineStr">
        <is>
          <t>1205403</t>
        </is>
      </c>
      <c r="B180" s="3" t="inlineStr">
        <is>
          <t>12054</t>
        </is>
      </c>
      <c r="C180" s="9" t="n">
        <v>48</v>
      </c>
      <c r="D180" s="3" t="inlineStr">
        <is>
          <t>Vienna</t>
        </is>
      </c>
      <c r="E180" s="10" t="n">
        <v>45667.83525462963</v>
      </c>
      <c r="F180" s="10" t="n">
        <v>45667.8434375</v>
      </c>
      <c r="G180" s="10" t="n">
        <v>45667.84523148148</v>
      </c>
      <c r="H180" s="3" t="inlineStr">
        <is>
          <t>OBT110125125652-Vienna</t>
        </is>
      </c>
      <c r="I180" s="10" t="n">
        <v>45668.54168981482</v>
      </c>
      <c r="J180" s="10" t="n">
        <v>45668.56946759259</v>
      </c>
      <c r="K180" s="10" t="n">
        <v>45668.56946759259</v>
      </c>
      <c r="L180" s="10" t="n">
        <v>45668.57042824074</v>
      </c>
      <c r="M180" s="11">
        <f>IF(AND(ISNUMBER(E180),ISNUMBER(G180)),(G180-E180),"")</f>
        <v/>
      </c>
      <c r="N180" s="11">
        <f>IF(AND(ISNUMBER(G180),ISNUMBER(L180)),(L180-G180),"")</f>
        <v/>
      </c>
      <c r="O180" s="10" t="n">
        <v>45667.85099537037</v>
      </c>
      <c r="P180" s="11">
        <f>IF(AND(ISNUMBER(I180),ISNUMBER(O180)),(I180-O180),"")</f>
        <v/>
      </c>
      <c r="Q180" s="12" t="inlineStr">
        <is>
          <t>WG 1205403 entered track and got secured then waited 16:31:26 for cut 1206201+1206202 to get coupled, OBTP started on 13:00:02 finished on 13:40:02 and then left at 13:41:25</t>
        </is>
      </c>
    </row>
    <row r="181">
      <c r="A181" s="3" t="inlineStr">
        <is>
          <t>1205501</t>
        </is>
      </c>
      <c r="B181" s="3" t="inlineStr">
        <is>
          <t>12055</t>
        </is>
      </c>
      <c r="C181" s="9" t="n">
        <v>32</v>
      </c>
      <c r="D181" s="3" t="inlineStr">
        <is>
          <t>Innsbruck</t>
        </is>
      </c>
      <c r="E181" s="10" t="n">
        <v>45667.93931712963</v>
      </c>
      <c r="F181" s="10" t="n">
        <v>45667.9458912037</v>
      </c>
      <c r="G181" s="10" t="n">
        <v>45667.94768518519</v>
      </c>
      <c r="H181" s="3" t="inlineStr">
        <is>
          <t>OBT110125073539-Innsbruck</t>
        </is>
      </c>
      <c r="I181" s="10" t="n">
        <v>45668.32149305556</v>
      </c>
      <c r="J181" s="10" t="n">
        <v>45668.35204861111</v>
      </c>
      <c r="K181" s="10" t="n">
        <v>45668.35204861111</v>
      </c>
      <c r="L181" s="10" t="n">
        <v>45668.35299768519</v>
      </c>
      <c r="M181" s="11">
        <f>IF(AND(ISNUMBER(E181),ISNUMBER(G181)),(G181-E181),"")</f>
        <v/>
      </c>
      <c r="N181" s="11">
        <f>IF(AND(ISNUMBER(G181),ISNUMBER(L181)),(L181-G181),"")</f>
        <v/>
      </c>
      <c r="O181" s="10" t="n">
        <v>45667.95181712963</v>
      </c>
      <c r="P181" s="11">
        <f>IF(AND(ISNUMBER(I181),ISNUMBER(O181)),(I181-O181),"")</f>
        <v/>
      </c>
      <c r="Q181" s="12" t="inlineStr">
        <is>
          <t>WG 1205501 entered track and got secured then waited 0:07:45 for WG 1205503 to get coupled then waited 8:37:17 for cut 1205901+1205902+1205903 to get coupled, OBTP started on 07:42:57 finished on 08:26:57 and then left at 08:28:19</t>
        </is>
      </c>
    </row>
    <row r="182">
      <c r="A182" s="3" t="inlineStr">
        <is>
          <t>1205502</t>
        </is>
      </c>
      <c r="B182" s="3" t="inlineStr">
        <is>
          <t>12055</t>
        </is>
      </c>
      <c r="C182" s="9" t="n">
        <v>32</v>
      </c>
      <c r="D182" s="3" t="inlineStr">
        <is>
          <t>Graz</t>
        </is>
      </c>
      <c r="E182" s="10" t="n">
        <v>45667.93931712963</v>
      </c>
      <c r="F182" s="10" t="n">
        <v>45667.94768518519</v>
      </c>
      <c r="G182" s="10" t="n">
        <v>45667.94967592593</v>
      </c>
      <c r="H182" s="3" t="inlineStr">
        <is>
          <t>OBT110125063952-Graz</t>
        </is>
      </c>
      <c r="I182" s="10" t="n">
        <v>45668.27855324074</v>
      </c>
      <c r="J182" s="10" t="n">
        <v>45668.30355324074</v>
      </c>
      <c r="K182" s="10" t="n">
        <v>45668.30355324074</v>
      </c>
      <c r="L182" s="10" t="n">
        <v>45668.30443287037</v>
      </c>
      <c r="M182" s="11">
        <f>IF(AND(ISNUMBER(E182),ISNUMBER(G182)),(G182-E182),"")</f>
        <v/>
      </c>
      <c r="N182" s="11">
        <f>IF(AND(ISNUMBER(G182),ISNUMBER(L182)),(L182-G182),"")</f>
        <v/>
      </c>
      <c r="O182" s="10" t="n">
        <v>45667.95380787037</v>
      </c>
      <c r="P182" s="11">
        <f>IF(AND(ISNUMBER(I182),ISNUMBER(O182)),(I182-O182),"")</f>
        <v/>
      </c>
      <c r="Q182" s="12" t="inlineStr">
        <is>
          <t>WG 1205502 entered track and got secured then waited 7:46:23 for cut 1205601+1205602 to get coupled, OBTP started on 06:41:07 finished on 07:17:07 and then left at 07:18:23</t>
        </is>
      </c>
    </row>
    <row r="183">
      <c r="A183" s="3" t="inlineStr">
        <is>
          <t>1205503</t>
        </is>
      </c>
      <c r="B183" s="3" t="inlineStr">
        <is>
          <t>12055</t>
        </is>
      </c>
      <c r="C183" s="9" t="n">
        <v>32</v>
      </c>
      <c r="D183" s="3" t="inlineStr">
        <is>
          <t>Innsbruck</t>
        </is>
      </c>
      <c r="E183" s="10" t="n">
        <v>45667.93931712963</v>
      </c>
      <c r="F183" s="10" t="n">
        <v>45667.94967592593</v>
      </c>
      <c r="G183" s="10" t="n">
        <v>45667.95146990741</v>
      </c>
      <c r="H183" s="3" t="inlineStr">
        <is>
          <t>OBT110125073539-Innsbruck</t>
        </is>
      </c>
      <c r="I183" s="10" t="n">
        <v>45668.32149305556</v>
      </c>
      <c r="J183" s="10" t="n">
        <v>45668.35204861111</v>
      </c>
      <c r="K183" s="10" t="n">
        <v>45668.35204861111</v>
      </c>
      <c r="L183" s="10" t="n">
        <v>45668.35299768519</v>
      </c>
      <c r="M183" s="11">
        <f>IF(AND(ISNUMBER(E183),ISNUMBER(G183)),(G183-E183),"")</f>
        <v/>
      </c>
      <c r="N183" s="11">
        <f>IF(AND(ISNUMBER(G183),ISNUMBER(L183)),(L183-G183),"")</f>
        <v/>
      </c>
      <c r="O183" s="10" t="n">
        <v>45667.95719907407</v>
      </c>
      <c r="P183" s="11">
        <f>IF(AND(ISNUMBER(I183),ISNUMBER(O183)),(I183-O183),"")</f>
        <v/>
      </c>
      <c r="Q183" s="12" t="inlineStr">
        <is>
          <t>WG 1205503 entered track and got coupled to WG 1205501 then waited 8:37:17 for cut 1205901+1205902+1205903 to get coupled, OBTP started on 07:42:57 finished on 08:26:57 and then left at 08:28:19</t>
        </is>
      </c>
    </row>
    <row r="184">
      <c r="A184" s="3" t="inlineStr">
        <is>
          <t>1205601</t>
        </is>
      </c>
      <c r="B184" s="3" t="inlineStr">
        <is>
          <t>12056</t>
        </is>
      </c>
      <c r="C184" s="9" t="n">
        <v>32</v>
      </c>
      <c r="D184" s="3" t="inlineStr">
        <is>
          <t>Graz</t>
        </is>
      </c>
      <c r="E184" s="10" t="n">
        <v>45668.25185185186</v>
      </c>
      <c r="F184" s="10" t="n">
        <v>45668.2575462963</v>
      </c>
      <c r="G184" s="10" t="n">
        <v>45668.25972222222</v>
      </c>
      <c r="H184" s="3" t="inlineStr">
        <is>
          <t>OBT110125063952-Graz</t>
        </is>
      </c>
      <c r="I184" s="10" t="n">
        <v>45668.27855324074</v>
      </c>
      <c r="J184" s="10" t="n">
        <v>45668.30355324074</v>
      </c>
      <c r="K184" s="10" t="n">
        <v>45668.30355324074</v>
      </c>
      <c r="L184" s="10" t="n">
        <v>45668.30443287037</v>
      </c>
      <c r="M184" s="11">
        <f>IF(AND(ISNUMBER(E184),ISNUMBER(G184)),(G184-E184),"")</f>
        <v/>
      </c>
      <c r="N184" s="11">
        <f>IF(AND(ISNUMBER(G184),ISNUMBER(L184)),(L184-G184),"")</f>
        <v/>
      </c>
      <c r="O184" s="10" t="n">
        <v>45668.27768518519</v>
      </c>
      <c r="P184" s="11">
        <f>IF(AND(ISNUMBER(I184),ISNUMBER(O184)),(I184-O184),"")</f>
        <v/>
      </c>
      <c r="Q184" s="12" t="inlineStr">
        <is>
          <t>WG 1205601 (already coupled to WG 1205602 from the inbound train) entered track and got coupled to WG 1205502, OBTP started on 06:41:07 finished on 07:17:07 and then left at 07:18:23</t>
        </is>
      </c>
    </row>
    <row r="185">
      <c r="A185" s="3" t="inlineStr">
        <is>
          <t>1205602</t>
        </is>
      </c>
      <c r="B185" s="3" t="inlineStr">
        <is>
          <t>12056</t>
        </is>
      </c>
      <c r="C185" s="9" t="n">
        <v>80</v>
      </c>
      <c r="D185" s="3" t="inlineStr">
        <is>
          <t>Graz</t>
        </is>
      </c>
      <c r="E185" s="10" t="n">
        <v>45668.25185185186</v>
      </c>
      <c r="F185" s="10" t="n">
        <v>45668.2575462963</v>
      </c>
      <c r="G185" s="10" t="n">
        <v>45668.25972222222</v>
      </c>
      <c r="H185" s="3" t="inlineStr">
        <is>
          <t>OBT110125063952-Graz</t>
        </is>
      </c>
      <c r="I185" s="10" t="n">
        <v>45668.27855324074</v>
      </c>
      <c r="J185" s="10" t="n">
        <v>45668.30355324074</v>
      </c>
      <c r="K185" s="10" t="n">
        <v>45668.30355324074</v>
      </c>
      <c r="L185" s="10" t="n">
        <v>45668.30443287037</v>
      </c>
      <c r="M185" s="11">
        <f>IF(AND(ISNUMBER(E185),ISNUMBER(G185)),(G185-E185),"")</f>
        <v/>
      </c>
      <c r="N185" s="11">
        <f>IF(AND(ISNUMBER(G185),ISNUMBER(L185)),(L185-G185),"")</f>
        <v/>
      </c>
      <c r="O185" s="10" t="n">
        <v>45668.27768518519</v>
      </c>
      <c r="P185" s="11">
        <f>IF(AND(ISNUMBER(I185),ISNUMBER(O185)),(I185-O185),"")</f>
        <v/>
      </c>
      <c r="Q185" s="12" t="inlineStr">
        <is>
          <t>WG 1205602 (already coupled to WG 1205601 from the inbound train) entered track and got coupled to WG 1205502, OBTP started on 06:41:07 finished on 07:17:07 and then left at 07:18:23</t>
        </is>
      </c>
    </row>
    <row r="186">
      <c r="A186" s="3" t="inlineStr">
        <is>
          <t>1205701</t>
        </is>
      </c>
      <c r="B186" s="3" t="inlineStr">
        <is>
          <t>12057</t>
        </is>
      </c>
      <c r="C186" s="9" t="n">
        <v>48</v>
      </c>
      <c r="D186" s="3" t="inlineStr">
        <is>
          <t>Ljubljana</t>
        </is>
      </c>
      <c r="E186" s="10" t="n">
        <v>45668.26047453703</v>
      </c>
      <c r="F186" s="10" t="n">
        <v>45668.26732638889</v>
      </c>
      <c r="G186" s="10" t="n">
        <v>45668.2685300926</v>
      </c>
      <c r="H186" s="3" t="inlineStr">
        <is>
          <t>OBT110125063829-Ljubljana</t>
        </is>
      </c>
      <c r="I186" s="10" t="n">
        <v>45668.27756944444</v>
      </c>
      <c r="J186" s="10" t="n">
        <v>45668.29701388889</v>
      </c>
      <c r="K186" s="10" t="n">
        <v>45668.29701388889</v>
      </c>
      <c r="L186" s="10" t="n">
        <v>45668.29773148148</v>
      </c>
      <c r="M186" s="11">
        <f>IF(AND(ISNUMBER(E186),ISNUMBER(G186)),(G186-E186),"")</f>
        <v/>
      </c>
      <c r="N186" s="11">
        <f>IF(AND(ISNUMBER(G186),ISNUMBER(L186)),(L186-G186),"")</f>
        <v/>
      </c>
      <c r="O186" s="10" t="n">
        <v>45668.27672453703</v>
      </c>
      <c r="P186" s="11">
        <f>IF(AND(ISNUMBER(I186),ISNUMBER(O186)),(I186-O186),"")</f>
        <v/>
      </c>
      <c r="Q186" s="12" t="inlineStr">
        <is>
          <t>WG 1205701 entered track and got coupled to WG 1205302, OBTP started on 06:39:42 finished on 07:07:42 and then left at 07:08:44</t>
        </is>
      </c>
    </row>
    <row r="187">
      <c r="A187" s="3" t="inlineStr">
        <is>
          <t>1205702</t>
        </is>
      </c>
      <c r="B187" s="3" t="inlineStr">
        <is>
          <t>12057</t>
        </is>
      </c>
      <c r="C187" s="9" t="n">
        <v>32</v>
      </c>
      <c r="D187" s="3" t="inlineStr">
        <is>
          <t>Graz</t>
        </is>
      </c>
      <c r="E187" s="10" t="n">
        <v>45668.26047453703</v>
      </c>
      <c r="F187" s="10" t="n">
        <v>45668.2685300926</v>
      </c>
      <c r="G187" s="10" t="n">
        <v>45668.2702662037</v>
      </c>
      <c r="H187" s="3" t="inlineStr">
        <is>
          <t>OBT110125215724-Graz</t>
        </is>
      </c>
      <c r="I187" s="10" t="n">
        <v>45668.91570601852</v>
      </c>
      <c r="J187" s="10" t="n">
        <v>45668.96015046296</v>
      </c>
      <c r="K187" s="10" t="n">
        <v>45668.96015046296</v>
      </c>
      <c r="L187" s="10" t="n">
        <v>45668.96125</v>
      </c>
      <c r="M187" s="11">
        <f>IF(AND(ISNUMBER(E187),ISNUMBER(G187)),(G187-E187),"")</f>
        <v/>
      </c>
      <c r="N187" s="11">
        <f>IF(AND(ISNUMBER(G187),ISNUMBER(L187)),(L187-G187),"")</f>
        <v/>
      </c>
      <c r="O187" s="10" t="n">
        <v>45668.27436342592</v>
      </c>
      <c r="P187" s="11">
        <f>IF(AND(ISNUMBER(I187),ISNUMBER(O187)),(I187-O187),"")</f>
        <v/>
      </c>
      <c r="Q187" s="12" t="inlineStr">
        <is>
          <t>WG 1205702 entered track and got secured then waited 6:06:41 for WG 1206203 to get coupled then waited 5:39:03 for WG 1206701 to get coupled then waited 3:36:35 for cut 1206802+1206803+1206804 to get coupled, OBTP started on 21:58:37 finished on 23:02:37 and then left at 23:04:12</t>
        </is>
      </c>
    </row>
    <row r="188">
      <c r="A188" s="3" t="inlineStr">
        <is>
          <t>1205703</t>
        </is>
      </c>
      <c r="B188" s="3" t="inlineStr">
        <is>
          <t>12057</t>
        </is>
      </c>
      <c r="C188" s="9" t="n">
        <v>48</v>
      </c>
      <c r="D188" s="3" t="inlineStr">
        <is>
          <t>Ljubljana</t>
        </is>
      </c>
      <c r="E188" s="10" t="n">
        <v>45668.26047453703</v>
      </c>
      <c r="F188" s="10" t="n">
        <v>45668.2702662037</v>
      </c>
      <c r="G188" s="10" t="n">
        <v>45668.2719212963</v>
      </c>
      <c r="H188" s="3" t="inlineStr">
        <is>
          <t>OBT110125071413-Ljubljana</t>
        </is>
      </c>
      <c r="I188" s="10" t="n">
        <v>45668.30239583334</v>
      </c>
      <c r="J188" s="10" t="n">
        <v>45668.33295138889</v>
      </c>
      <c r="K188" s="10" t="n">
        <v>45668.33295138889</v>
      </c>
      <c r="L188" s="10" t="n">
        <v>45668.33394675926</v>
      </c>
      <c r="M188" s="11">
        <f>IF(AND(ISNUMBER(E188),ISNUMBER(G188)),(G188-E188),"")</f>
        <v/>
      </c>
      <c r="N188" s="11">
        <f>IF(AND(ISNUMBER(G188),ISNUMBER(L188)),(L188-G188),"")</f>
        <v/>
      </c>
      <c r="O188" s="10" t="n">
        <v>45668.27767361111</v>
      </c>
      <c r="P188" s="11">
        <f>IF(AND(ISNUMBER(I188),ISNUMBER(O188)),(I188-O188),"")</f>
        <v/>
      </c>
      <c r="Q188" s="12" t="inlineStr">
        <is>
          <t>WG 1205703 entered track and got secured then waited 0:34:22 for cut 1205801+1205802+1205803 to get coupled, OBTP started on 07:15:27 finished on 07:59:27 and then left at 08:00:53</t>
        </is>
      </c>
    </row>
    <row r="189">
      <c r="A189" s="3" t="inlineStr">
        <is>
          <t>1205801</t>
        </is>
      </c>
      <c r="B189" s="3" t="inlineStr">
        <is>
          <t>12058</t>
        </is>
      </c>
      <c r="C189" s="9" t="n">
        <v>48</v>
      </c>
      <c r="D189" s="3" t="inlineStr">
        <is>
          <t>Ljubljana</t>
        </is>
      </c>
      <c r="E189" s="10" t="n">
        <v>45668.27341435185</v>
      </c>
      <c r="F189" s="10" t="n">
        <v>45668.27924768518</v>
      </c>
      <c r="G189" s="10" t="n">
        <v>45668.28112268518</v>
      </c>
      <c r="H189" s="3" t="inlineStr">
        <is>
          <t>OBT110125071413-Ljubljana</t>
        </is>
      </c>
      <c r="I189" s="10" t="n">
        <v>45668.30239583334</v>
      </c>
      <c r="J189" s="10" t="n">
        <v>45668.33295138889</v>
      </c>
      <c r="K189" s="10" t="n">
        <v>45668.33295138889</v>
      </c>
      <c r="L189" s="10" t="n">
        <v>45668.33394675926</v>
      </c>
      <c r="M189" s="11">
        <f>IF(AND(ISNUMBER(E189),ISNUMBER(G189)),(G189-E189),"")</f>
        <v/>
      </c>
      <c r="N189" s="11">
        <f>IF(AND(ISNUMBER(G189),ISNUMBER(L189)),(L189-G189),"")</f>
        <v/>
      </c>
      <c r="O189" s="10" t="n">
        <v>45668.30153935185</v>
      </c>
      <c r="P189" s="11">
        <f>IF(AND(ISNUMBER(I189),ISNUMBER(O189)),(I189-O189),"")</f>
        <v/>
      </c>
      <c r="Q189" s="12" t="inlineStr">
        <is>
          <t>WG 1205801 (already coupled to WG 1205802, WG 1205803 from the inbound train) entered track and got coupled to WG 1205703, OBTP started on 07:15:27 finished on 07:59:27 and then left at 08:00:53</t>
        </is>
      </c>
    </row>
    <row r="190">
      <c r="A190" s="3" t="inlineStr">
        <is>
          <t>1205802</t>
        </is>
      </c>
      <c r="B190" s="3" t="inlineStr">
        <is>
          <t>12058</t>
        </is>
      </c>
      <c r="C190" s="9" t="n">
        <v>32</v>
      </c>
      <c r="D190" s="3" t="inlineStr">
        <is>
          <t>Ljubljana</t>
        </is>
      </c>
      <c r="E190" s="10" t="n">
        <v>45668.27341435185</v>
      </c>
      <c r="F190" s="10" t="n">
        <v>45668.27924768518</v>
      </c>
      <c r="G190" s="10" t="n">
        <v>45668.28112268518</v>
      </c>
      <c r="H190" s="3" t="inlineStr">
        <is>
          <t>OBT110125071413-Ljubljana</t>
        </is>
      </c>
      <c r="I190" s="10" t="n">
        <v>45668.30239583334</v>
      </c>
      <c r="J190" s="10" t="n">
        <v>45668.33295138889</v>
      </c>
      <c r="K190" s="10" t="n">
        <v>45668.33295138889</v>
      </c>
      <c r="L190" s="10" t="n">
        <v>45668.33394675926</v>
      </c>
      <c r="M190" s="11">
        <f>IF(AND(ISNUMBER(E190),ISNUMBER(G190)),(G190-E190),"")</f>
        <v/>
      </c>
      <c r="N190" s="11">
        <f>IF(AND(ISNUMBER(G190),ISNUMBER(L190)),(L190-G190),"")</f>
        <v/>
      </c>
      <c r="O190" s="10" t="n">
        <v>45668.30153935185</v>
      </c>
      <c r="P190" s="11">
        <f>IF(AND(ISNUMBER(I190),ISNUMBER(O190)),(I190-O190),"")</f>
        <v/>
      </c>
      <c r="Q190" s="12" t="inlineStr">
        <is>
          <t>WG 1205802 (already coupled to WG 1205801, WG 1205803 from the inbound train) entered track and got coupled to WG 1205703, OBTP started on 07:15:27 finished on 07:59:27 and then left at 08:00:53</t>
        </is>
      </c>
    </row>
    <row r="191">
      <c r="A191" s="3" t="inlineStr">
        <is>
          <t>1205803</t>
        </is>
      </c>
      <c r="B191" s="3" t="inlineStr">
        <is>
          <t>12058</t>
        </is>
      </c>
      <c r="C191" s="9" t="n">
        <v>48</v>
      </c>
      <c r="D191" s="3" t="inlineStr">
        <is>
          <t>Ljubljana</t>
        </is>
      </c>
      <c r="E191" s="10" t="n">
        <v>45668.27341435185</v>
      </c>
      <c r="F191" s="10" t="n">
        <v>45668.27924768518</v>
      </c>
      <c r="G191" s="10" t="n">
        <v>45668.28112268518</v>
      </c>
      <c r="H191" s="3" t="inlineStr">
        <is>
          <t>OBT110125071413-Ljubljana</t>
        </is>
      </c>
      <c r="I191" s="10" t="n">
        <v>45668.30239583334</v>
      </c>
      <c r="J191" s="10" t="n">
        <v>45668.33295138889</v>
      </c>
      <c r="K191" s="10" t="n">
        <v>45668.33295138889</v>
      </c>
      <c r="L191" s="10" t="n">
        <v>45668.33394675926</v>
      </c>
      <c r="M191" s="11">
        <f>IF(AND(ISNUMBER(E191),ISNUMBER(G191)),(G191-E191),"")</f>
        <v/>
      </c>
      <c r="N191" s="11">
        <f>IF(AND(ISNUMBER(G191),ISNUMBER(L191)),(L191-G191),"")</f>
        <v/>
      </c>
      <c r="O191" s="10" t="n">
        <v>45668.30153935185</v>
      </c>
      <c r="P191" s="11">
        <f>IF(AND(ISNUMBER(I191),ISNUMBER(O191)),(I191-O191),"")</f>
        <v/>
      </c>
      <c r="Q191" s="12" t="inlineStr">
        <is>
          <t>WG 1205803 (already coupled to WG 1205801, WG 1205802 from the inbound train) entered track and got coupled to WG 1205703, OBTP started on 07:15:27 finished on 07:59:27 and then left at 08:00:53</t>
        </is>
      </c>
    </row>
    <row r="192">
      <c r="A192" s="3" t="inlineStr">
        <is>
          <t>1205901</t>
        </is>
      </c>
      <c r="B192" s="3" t="inlineStr">
        <is>
          <t>12059</t>
        </is>
      </c>
      <c r="C192" s="9" t="n">
        <v>32</v>
      </c>
      <c r="D192" s="3" t="inlineStr">
        <is>
          <t>Innsbruck</t>
        </is>
      </c>
      <c r="E192" s="10" t="n">
        <v>45668.29074074074</v>
      </c>
      <c r="F192" s="10" t="n">
        <v>45668.29650462963</v>
      </c>
      <c r="G192" s="10" t="n">
        <v>45668.29848379629</v>
      </c>
      <c r="H192" s="3" t="inlineStr">
        <is>
          <t>OBT110125073539-Innsbruck</t>
        </is>
      </c>
      <c r="I192" s="10" t="n">
        <v>45668.32149305556</v>
      </c>
      <c r="J192" s="10" t="n">
        <v>45668.35204861111</v>
      </c>
      <c r="K192" s="10" t="n">
        <v>45668.35204861111</v>
      </c>
      <c r="L192" s="10" t="n">
        <v>45668.35299768519</v>
      </c>
      <c r="M192" s="11">
        <f>IF(AND(ISNUMBER(E192),ISNUMBER(G192)),(G192-E192),"")</f>
        <v/>
      </c>
      <c r="N192" s="11">
        <f>IF(AND(ISNUMBER(G192),ISNUMBER(L192)),(L192-G192),"")</f>
        <v/>
      </c>
      <c r="O192" s="10" t="n">
        <v>45668.31642361111</v>
      </c>
      <c r="P192" s="11">
        <f>IF(AND(ISNUMBER(I192),ISNUMBER(O192)),(I192-O192),"")</f>
        <v/>
      </c>
      <c r="Q192" s="12" t="inlineStr">
        <is>
          <t>WG 1205901 (already coupled to WG 1205902, WG 1205903 from the inbound train) entered track and got coupled to WG 1205503, OBTP started on 07:42:57 finished on 08:26:57 and then left at 08:28:19</t>
        </is>
      </c>
    </row>
    <row r="193">
      <c r="A193" s="3" t="inlineStr">
        <is>
          <t>1205902</t>
        </is>
      </c>
      <c r="B193" s="3" t="inlineStr">
        <is>
          <t>12059</t>
        </is>
      </c>
      <c r="C193" s="9" t="n">
        <v>32</v>
      </c>
      <c r="D193" s="3" t="inlineStr">
        <is>
          <t>Innsbruck</t>
        </is>
      </c>
      <c r="E193" s="10" t="n">
        <v>45668.29074074074</v>
      </c>
      <c r="F193" s="10" t="n">
        <v>45668.29650462963</v>
      </c>
      <c r="G193" s="10" t="n">
        <v>45668.29848379629</v>
      </c>
      <c r="H193" s="3" t="inlineStr">
        <is>
          <t>OBT110125073539-Innsbruck</t>
        </is>
      </c>
      <c r="I193" s="10" t="n">
        <v>45668.32149305556</v>
      </c>
      <c r="J193" s="10" t="n">
        <v>45668.35204861111</v>
      </c>
      <c r="K193" s="10" t="n">
        <v>45668.35204861111</v>
      </c>
      <c r="L193" s="10" t="n">
        <v>45668.35299768519</v>
      </c>
      <c r="M193" s="11">
        <f>IF(AND(ISNUMBER(E193),ISNUMBER(G193)),(G193-E193),"")</f>
        <v/>
      </c>
      <c r="N193" s="11">
        <f>IF(AND(ISNUMBER(G193),ISNUMBER(L193)),(L193-G193),"")</f>
        <v/>
      </c>
      <c r="O193" s="10" t="n">
        <v>45668.31642361111</v>
      </c>
      <c r="P193" s="11">
        <f>IF(AND(ISNUMBER(I193),ISNUMBER(O193)),(I193-O193),"")</f>
        <v/>
      </c>
      <c r="Q193" s="12" t="inlineStr">
        <is>
          <t>WG 1205902 (already coupled to WG 1205901, WG 1205903 from the inbound train) entered track and got coupled to WG 1205503, OBTP started on 07:42:57 finished on 08:26:57 and then left at 08:28:19</t>
        </is>
      </c>
    </row>
    <row r="194">
      <c r="A194" s="3" t="inlineStr">
        <is>
          <t>1205903</t>
        </is>
      </c>
      <c r="B194" s="3" t="inlineStr">
        <is>
          <t>12059</t>
        </is>
      </c>
      <c r="C194" s="9" t="n">
        <v>48</v>
      </c>
      <c r="D194" s="3" t="inlineStr">
        <is>
          <t>Innsbruck</t>
        </is>
      </c>
      <c r="E194" s="10" t="n">
        <v>45668.29074074074</v>
      </c>
      <c r="F194" s="10" t="n">
        <v>45668.29650462963</v>
      </c>
      <c r="G194" s="10" t="n">
        <v>45668.29848379629</v>
      </c>
      <c r="H194" s="3" t="inlineStr">
        <is>
          <t>OBT110125073539-Innsbruck</t>
        </is>
      </c>
      <c r="I194" s="10" t="n">
        <v>45668.32149305556</v>
      </c>
      <c r="J194" s="10" t="n">
        <v>45668.35204861111</v>
      </c>
      <c r="K194" s="10" t="n">
        <v>45668.35204861111</v>
      </c>
      <c r="L194" s="10" t="n">
        <v>45668.35299768519</v>
      </c>
      <c r="M194" s="11">
        <f>IF(AND(ISNUMBER(E194),ISNUMBER(G194)),(G194-E194),"")</f>
        <v/>
      </c>
      <c r="N194" s="11">
        <f>IF(AND(ISNUMBER(G194),ISNUMBER(L194)),(L194-G194),"")</f>
        <v/>
      </c>
      <c r="O194" s="10" t="n">
        <v>45668.31642361111</v>
      </c>
      <c r="P194" s="11">
        <f>IF(AND(ISNUMBER(I194),ISNUMBER(O194)),(I194-O194),"")</f>
        <v/>
      </c>
      <c r="Q194" s="12" t="inlineStr">
        <is>
          <t>WG 1205903 (already coupled to WG 1205901, WG 1205902 from the inbound train) entered track and got coupled to WG 1205503, OBTP started on 07:42:57 finished on 08:26:57 and then left at 08:28:19</t>
        </is>
      </c>
    </row>
    <row r="195">
      <c r="A195" s="3" t="inlineStr">
        <is>
          <t>1206001</t>
        </is>
      </c>
      <c r="B195" s="3" t="inlineStr">
        <is>
          <t>12060</t>
        </is>
      </c>
      <c r="C195" s="9" t="n">
        <v>32</v>
      </c>
      <c r="D195" s="3" t="inlineStr">
        <is>
          <t>Salzburg</t>
        </is>
      </c>
      <c r="E195" s="10" t="n">
        <v>45668.30532407408</v>
      </c>
      <c r="F195" s="10" t="n">
        <v>45668.31193287037</v>
      </c>
      <c r="G195" s="10" t="n">
        <v>45668.31400462963</v>
      </c>
      <c r="H195" s="3" t="inlineStr">
        <is>
          <t>OBT110125074027-Salzburg</t>
        </is>
      </c>
      <c r="I195" s="10" t="n">
        <v>45668.3246875</v>
      </c>
      <c r="J195" s="10" t="n">
        <v>45668.34690972222</v>
      </c>
      <c r="K195" s="10" t="n">
        <v>45668.34690972222</v>
      </c>
      <c r="L195" s="10" t="n">
        <v>45668.34769675926</v>
      </c>
      <c r="M195" s="11">
        <f>IF(AND(ISNUMBER(E195),ISNUMBER(G195)),(G195-E195),"")</f>
        <v/>
      </c>
      <c r="N195" s="11">
        <f>IF(AND(ISNUMBER(G195),ISNUMBER(L195)),(L195-G195),"")</f>
        <v/>
      </c>
      <c r="O195" s="10" t="n">
        <v>45668.31975694445</v>
      </c>
      <c r="P195" s="11">
        <f>IF(AND(ISNUMBER(I195),ISNUMBER(O195)),(I195-O195),"")</f>
        <v/>
      </c>
      <c r="Q195" s="12" t="inlineStr">
        <is>
          <t>WG 1206001 entered track and got coupled to cut 1205401+1205402, OBTP started on 07:47:33 finished on 08:19:33 and then left at 08:20:41</t>
        </is>
      </c>
    </row>
    <row r="196">
      <c r="A196" s="3" t="inlineStr">
        <is>
          <t>1206002</t>
        </is>
      </c>
      <c r="B196" s="3" t="inlineStr">
        <is>
          <t>12060</t>
        </is>
      </c>
      <c r="C196" s="9" t="n">
        <v>32</v>
      </c>
      <c r="D196" s="3" t="inlineStr">
        <is>
          <t>Klagenfurt</t>
        </is>
      </c>
      <c r="E196" s="10" t="n">
        <v>45668.30532407408</v>
      </c>
      <c r="F196" s="10" t="n">
        <v>45668.31400462963</v>
      </c>
      <c r="G196" s="10" t="n">
        <v>45668.31594907407</v>
      </c>
      <c r="H196" s="3" t="inlineStr">
        <is>
          <t>OBT110125130321-Klagenfurt</t>
        </is>
      </c>
      <c r="I196" s="10" t="n">
        <v>45668.5668287037</v>
      </c>
      <c r="J196" s="10" t="n">
        <v>45668.59182870371</v>
      </c>
      <c r="K196" s="10" t="n">
        <v>45668.59182870371</v>
      </c>
      <c r="L196" s="10" t="n">
        <v>45668.59255787037</v>
      </c>
      <c r="M196" s="11">
        <f>IF(AND(ISNUMBER(E196),ISNUMBER(G196)),(G196-E196),"")</f>
        <v/>
      </c>
      <c r="N196" s="11">
        <f>IF(AND(ISNUMBER(G196),ISNUMBER(L196)),(L196-G196),"")</f>
        <v/>
      </c>
      <c r="O196" s="10" t="n">
        <v>45668.32119212963</v>
      </c>
      <c r="P196" s="11">
        <f>IF(AND(ISNUMBER(I196),ISNUMBER(O196)),(I196-O196),"")</f>
        <v/>
      </c>
      <c r="Q196" s="12" t="inlineStr">
        <is>
          <t>WG 1206002 entered track and got coupled to WG 1204702 then waited 5:20:50 for WG 1206401 to get coupled, OBTP started on 13:36:14 finished on 14:12:14 and then left at 14:13:17</t>
        </is>
      </c>
    </row>
    <row r="197">
      <c r="A197" s="3" t="inlineStr">
        <is>
          <t>1206003</t>
        </is>
      </c>
      <c r="B197" s="3" t="inlineStr">
        <is>
          <t>12060</t>
        </is>
      </c>
      <c r="C197" s="9" t="n">
        <v>48</v>
      </c>
      <c r="D197" s="3" t="inlineStr">
        <is>
          <t>Salzburg</t>
        </is>
      </c>
      <c r="E197" s="10" t="n">
        <v>45668.30532407408</v>
      </c>
      <c r="F197" s="10" t="n">
        <v>45668.31594907407</v>
      </c>
      <c r="G197" s="10" t="n">
        <v>45668.3171875</v>
      </c>
      <c r="H197" s="3" t="inlineStr">
        <is>
          <t>OBT110125130624-Salzburg</t>
        </is>
      </c>
      <c r="I197" s="10" t="n">
        <v>45668.57027777778</v>
      </c>
      <c r="J197" s="10" t="n">
        <v>45668.59805555556</v>
      </c>
      <c r="K197" s="10" t="n">
        <v>45668.59805555556</v>
      </c>
      <c r="L197" s="10" t="n">
        <v>45668.59888888889</v>
      </c>
      <c r="M197" s="11">
        <f>IF(AND(ISNUMBER(E197),ISNUMBER(G197)),(G197-E197),"")</f>
        <v/>
      </c>
      <c r="N197" s="11">
        <f>IF(AND(ISNUMBER(G197),ISNUMBER(L197)),(L197-G197),"")</f>
        <v/>
      </c>
      <c r="O197" s="10" t="n">
        <v>45668.32295138889</v>
      </c>
      <c r="P197" s="11">
        <f>IF(AND(ISNUMBER(I197),ISNUMBER(O197)),(I197-O197),"")</f>
        <v/>
      </c>
      <c r="Q197" s="12" t="inlineStr">
        <is>
          <t>WG 1206003 entered track and got secured then waited 5:21:21 for cut 1206301+1206302 to get coupled, OBTP started on 13:41:12 finished on 14:21:12 and then left at 14:22:24</t>
        </is>
      </c>
    </row>
    <row r="198">
      <c r="A198" s="3" t="inlineStr">
        <is>
          <t>1206101</t>
        </is>
      </c>
      <c r="B198" s="3" t="inlineStr">
        <is>
          <t>12061</t>
        </is>
      </c>
      <c r="C198" s="9" t="n">
        <v>80</v>
      </c>
      <c r="D198" s="3" t="inlineStr">
        <is>
          <t>Ljubljana</t>
        </is>
      </c>
      <c r="E198" s="10" t="n">
        <v>45668.50185185186</v>
      </c>
      <c r="F198" s="10" t="n">
        <v>45668.50761574074</v>
      </c>
      <c r="G198" s="10" t="n">
        <v>45668.50979166666</v>
      </c>
      <c r="H198" s="3" t="inlineStr">
        <is>
          <t>OBT110125130204-Ljubljana</t>
        </is>
      </c>
      <c r="I198" s="10" t="n">
        <v>45668.54569444444</v>
      </c>
      <c r="J198" s="10" t="n">
        <v>45668.56513888889</v>
      </c>
      <c r="K198" s="10" t="n">
        <v>45668.56513888889</v>
      </c>
      <c r="L198" s="10" t="n">
        <v>45668.5658912037</v>
      </c>
      <c r="M198" s="11">
        <f>IF(AND(ISNUMBER(E198),ISNUMBER(G198)),(G198-E198),"")</f>
        <v/>
      </c>
      <c r="N198" s="11">
        <f>IF(AND(ISNUMBER(G198),ISNUMBER(L198)),(L198-G198),"")</f>
        <v/>
      </c>
      <c r="O198" s="10" t="n">
        <v>45668.51798611111</v>
      </c>
      <c r="P198" s="11">
        <f>IF(AND(ISNUMBER(I198),ISNUMBER(O198)),(I198-O198),"")</f>
        <v/>
      </c>
      <c r="Q198" s="12" t="inlineStr">
        <is>
          <t>WG 1206101 entered track and got secured then waited 0:36:10 for WG 1206402 to get coupled, OBTP started on 13:05:48 finished on 13:33:48 and then left at 13:34:53</t>
        </is>
      </c>
    </row>
    <row r="199">
      <c r="A199" s="3" t="inlineStr">
        <is>
          <t>1206102</t>
        </is>
      </c>
      <c r="B199" s="3" t="inlineStr">
        <is>
          <t>12061</t>
        </is>
      </c>
      <c r="C199" s="9" t="n">
        <v>32</v>
      </c>
      <c r="D199" s="3" t="inlineStr">
        <is>
          <t>Budapest</t>
        </is>
      </c>
      <c r="E199" s="10" t="n">
        <v>45668.50185185186</v>
      </c>
      <c r="F199" s="10" t="n">
        <v>45668.50979166666</v>
      </c>
      <c r="G199" s="10" t="n">
        <v>45668.51109953703</v>
      </c>
      <c r="H199" s="3" t="inlineStr">
        <is>
          <t>OBT110125122417-Budapest</t>
        </is>
      </c>
      <c r="I199" s="10" t="n">
        <v>45668.51773148148</v>
      </c>
      <c r="J199" s="10" t="n">
        <v>45668.5399537037</v>
      </c>
      <c r="K199" s="10" t="n">
        <v>45668.5399537037</v>
      </c>
      <c r="L199" s="10" t="n">
        <v>45668.54067129629</v>
      </c>
      <c r="M199" s="11">
        <f>IF(AND(ISNUMBER(E199),ISNUMBER(G199)),(G199-E199),"")</f>
        <v/>
      </c>
      <c r="N199" s="11">
        <f>IF(AND(ISNUMBER(G199),ISNUMBER(L199)),(L199-G199),"")</f>
        <v/>
      </c>
      <c r="O199" s="10" t="n">
        <v>45668.51686342592</v>
      </c>
      <c r="P199" s="11">
        <f>IF(AND(ISNUMBER(I199),ISNUMBER(O199)),(I199-O199),"")</f>
        <v/>
      </c>
      <c r="Q199" s="12" t="inlineStr">
        <is>
          <t>WG 1206102 entered track and got coupled to WG 1205303, OBTP started on 12:25:32 finished on 12:57:32 and then left at 12:58:34</t>
        </is>
      </c>
    </row>
    <row r="200">
      <c r="A200" s="3" t="inlineStr">
        <is>
          <t>1206201</t>
        </is>
      </c>
      <c r="B200" s="3" t="inlineStr">
        <is>
          <t>12062</t>
        </is>
      </c>
      <c r="C200" s="9" t="n">
        <v>80</v>
      </c>
      <c r="D200" s="3" t="inlineStr">
        <is>
          <t>Vienna</t>
        </is>
      </c>
      <c r="E200" s="10" t="n">
        <v>45668.51372685185</v>
      </c>
      <c r="F200" s="10" t="n">
        <v>45668.51956018519</v>
      </c>
      <c r="G200" s="10" t="n">
        <v>45668.52150462963</v>
      </c>
      <c r="H200" s="3" t="inlineStr">
        <is>
          <t>OBT110125125652-Vienna</t>
        </is>
      </c>
      <c r="I200" s="10" t="n">
        <v>45668.54168981482</v>
      </c>
      <c r="J200" s="10" t="n">
        <v>45668.56946759259</v>
      </c>
      <c r="K200" s="10" t="n">
        <v>45668.56946759259</v>
      </c>
      <c r="L200" s="10" t="n">
        <v>45668.57042824074</v>
      </c>
      <c r="M200" s="11">
        <f>IF(AND(ISNUMBER(E200),ISNUMBER(G200)),(G200-E200),"")</f>
        <v/>
      </c>
      <c r="N200" s="11">
        <f>IF(AND(ISNUMBER(G200),ISNUMBER(L200)),(L200-G200),"")</f>
        <v/>
      </c>
      <c r="O200" s="10" t="n">
        <v>45668.53949074074</v>
      </c>
      <c r="P200" s="11">
        <f>IF(AND(ISNUMBER(I200),ISNUMBER(O200)),(I200-O200),"")</f>
        <v/>
      </c>
      <c r="Q200" s="12" t="inlineStr">
        <is>
          <t>WG 1206201 (already coupled to WG 1206202 from the inbound train) entered track and got coupled to WG 1205403, OBTP started on 13:00:02 finished on 13:40:02 and then left at 13:41:25</t>
        </is>
      </c>
    </row>
    <row r="201">
      <c r="A201" s="3" t="inlineStr">
        <is>
          <t>1206202</t>
        </is>
      </c>
      <c r="B201" s="3" t="inlineStr">
        <is>
          <t>12062</t>
        </is>
      </c>
      <c r="C201" s="9" t="n">
        <v>32</v>
      </c>
      <c r="D201" s="3" t="inlineStr">
        <is>
          <t>Vienna</t>
        </is>
      </c>
      <c r="E201" s="10" t="n">
        <v>45668.51372685185</v>
      </c>
      <c r="F201" s="10" t="n">
        <v>45668.51956018519</v>
      </c>
      <c r="G201" s="10" t="n">
        <v>45668.52150462963</v>
      </c>
      <c r="H201" s="3" t="inlineStr">
        <is>
          <t>OBT110125125652-Vienna</t>
        </is>
      </c>
      <c r="I201" s="10" t="n">
        <v>45668.54168981482</v>
      </c>
      <c r="J201" s="10" t="n">
        <v>45668.56946759259</v>
      </c>
      <c r="K201" s="10" t="n">
        <v>45668.56946759259</v>
      </c>
      <c r="L201" s="10" t="n">
        <v>45668.57042824074</v>
      </c>
      <c r="M201" s="11">
        <f>IF(AND(ISNUMBER(E201),ISNUMBER(G201)),(G201-E201),"")</f>
        <v/>
      </c>
      <c r="N201" s="11">
        <f>IF(AND(ISNUMBER(G201),ISNUMBER(L201)),(L201-G201),"")</f>
        <v/>
      </c>
      <c r="O201" s="10" t="n">
        <v>45668.53949074074</v>
      </c>
      <c r="P201" s="11">
        <f>IF(AND(ISNUMBER(I201),ISNUMBER(O201)),(I201-O201),"")</f>
        <v/>
      </c>
      <c r="Q201" s="12" t="inlineStr">
        <is>
          <t>WG 1206202 (already coupled to WG 1206201 from the inbound train) entered track and got coupled to WG 1205403, OBTP started on 13:00:02 finished on 13:40:02 and then left at 13:41:25</t>
        </is>
      </c>
    </row>
    <row r="202">
      <c r="A202" s="3" t="inlineStr">
        <is>
          <t>1206203</t>
        </is>
      </c>
      <c r="B202" s="3" t="inlineStr">
        <is>
          <t>12062</t>
        </is>
      </c>
      <c r="C202" s="9" t="n">
        <v>32</v>
      </c>
      <c r="D202" s="3" t="inlineStr">
        <is>
          <t>Graz</t>
        </is>
      </c>
      <c r="E202" s="10" t="n">
        <v>45668.51372685185</v>
      </c>
      <c r="F202" s="10" t="n">
        <v>45668.52150462963</v>
      </c>
      <c r="G202" s="10" t="n">
        <v>45668.52326388889</v>
      </c>
      <c r="H202" s="3" t="inlineStr">
        <is>
          <t>OBT110125215724-Graz</t>
        </is>
      </c>
      <c r="I202" s="10" t="n">
        <v>45668.91570601852</v>
      </c>
      <c r="J202" s="10" t="n">
        <v>45668.96015046296</v>
      </c>
      <c r="K202" s="10" t="n">
        <v>45668.96015046296</v>
      </c>
      <c r="L202" s="10" t="n">
        <v>45668.96125</v>
      </c>
      <c r="M202" s="11">
        <f>IF(AND(ISNUMBER(E202),ISNUMBER(G202)),(G202-E202),"")</f>
        <v/>
      </c>
      <c r="N202" s="11">
        <f>IF(AND(ISNUMBER(G202),ISNUMBER(L202)),(L202-G202),"")</f>
        <v/>
      </c>
      <c r="O202" s="10" t="n">
        <v>45668.52900462963</v>
      </c>
      <c r="P202" s="11">
        <f>IF(AND(ISNUMBER(I202),ISNUMBER(O202)),(I202-O202),"")</f>
        <v/>
      </c>
      <c r="Q202" s="12" t="inlineStr">
        <is>
          <t>WG 1206203 entered track and got coupled to WG 1205702 then waited 5:39:03 for WG 1206701 to get coupled then waited 3:36:35 for cut 1206802+1206803+1206804 to get coupled, OBTP started on 21:58:37 finished on 23:02:37 and then left at 23:04:12</t>
        </is>
      </c>
    </row>
    <row r="203">
      <c r="A203" s="3" t="inlineStr">
        <is>
          <t>1206301</t>
        </is>
      </c>
      <c r="B203" s="3" t="inlineStr">
        <is>
          <t>12063</t>
        </is>
      </c>
      <c r="C203" s="9" t="n">
        <v>32</v>
      </c>
      <c r="D203" s="3" t="inlineStr">
        <is>
          <t>Salzburg</t>
        </is>
      </c>
      <c r="E203" s="10" t="n">
        <v>45668.52293981481</v>
      </c>
      <c r="F203" s="10" t="n">
        <v>45668.52841435185</v>
      </c>
      <c r="G203" s="10" t="n">
        <v>45668.52976851852</v>
      </c>
      <c r="H203" s="3" t="inlineStr">
        <is>
          <t>OBT110125130624-Salzburg</t>
        </is>
      </c>
      <c r="I203" s="10" t="n">
        <v>45668.57027777778</v>
      </c>
      <c r="J203" s="10" t="n">
        <v>45668.59805555556</v>
      </c>
      <c r="K203" s="10" t="n">
        <v>45668.59805555556</v>
      </c>
      <c r="L203" s="10" t="n">
        <v>45668.59888888889</v>
      </c>
      <c r="M203" s="11">
        <f>IF(AND(ISNUMBER(E203),ISNUMBER(G203)),(G203-E203),"")</f>
        <v/>
      </c>
      <c r="N203" s="11">
        <f>IF(AND(ISNUMBER(G203),ISNUMBER(L203)),(L203-G203),"")</f>
        <v/>
      </c>
      <c r="O203" s="10" t="n">
        <v>45668.54611111111</v>
      </c>
      <c r="P203" s="11">
        <f>IF(AND(ISNUMBER(I203),ISNUMBER(O203)),(I203-O203),"")</f>
        <v/>
      </c>
      <c r="Q203" s="12" t="inlineStr">
        <is>
          <t>WG 1206301 (already coupled to WG 1206302 from the inbound train) entered track and got coupled to WG 1206003, OBTP started on 13:41:12 finished on 14:21:12 and then left at 14:22:24</t>
        </is>
      </c>
    </row>
    <row r="204">
      <c r="A204" s="3" t="inlineStr">
        <is>
          <t>1206302</t>
        </is>
      </c>
      <c r="B204" s="3" t="inlineStr">
        <is>
          <t>12063</t>
        </is>
      </c>
      <c r="C204" s="9" t="n">
        <v>80</v>
      </c>
      <c r="D204" s="3" t="inlineStr">
        <is>
          <t>Salzburg</t>
        </is>
      </c>
      <c r="E204" s="10" t="n">
        <v>45668.52293981481</v>
      </c>
      <c r="F204" s="10" t="n">
        <v>45668.52841435185</v>
      </c>
      <c r="G204" s="10" t="n">
        <v>45668.52976851852</v>
      </c>
      <c r="H204" s="3" t="inlineStr">
        <is>
          <t>OBT110125130624-Salzburg</t>
        </is>
      </c>
      <c r="I204" s="10" t="n">
        <v>45668.57027777778</v>
      </c>
      <c r="J204" s="10" t="n">
        <v>45668.59805555556</v>
      </c>
      <c r="K204" s="10" t="n">
        <v>45668.59805555556</v>
      </c>
      <c r="L204" s="10" t="n">
        <v>45668.59888888889</v>
      </c>
      <c r="M204" s="11">
        <f>IF(AND(ISNUMBER(E204),ISNUMBER(G204)),(G204-E204),"")</f>
        <v/>
      </c>
      <c r="N204" s="11">
        <f>IF(AND(ISNUMBER(G204),ISNUMBER(L204)),(L204-G204),"")</f>
        <v/>
      </c>
      <c r="O204" s="10" t="n">
        <v>45668.54611111111</v>
      </c>
      <c r="P204" s="11">
        <f>IF(AND(ISNUMBER(I204),ISNUMBER(O204)),(I204-O204),"")</f>
        <v/>
      </c>
      <c r="Q204" s="12" t="inlineStr">
        <is>
          <t>WG 1206302 (already coupled to WG 1206301 from the inbound train) entered track and got coupled to WG 1206003, OBTP started on 13:41:12 finished on 14:21:12 and then left at 14:22:24</t>
        </is>
      </c>
    </row>
    <row r="205">
      <c r="A205" s="3" t="inlineStr">
        <is>
          <t>1206401</t>
        </is>
      </c>
      <c r="B205" s="3" t="inlineStr">
        <is>
          <t>12064</t>
        </is>
      </c>
      <c r="C205" s="9" t="n">
        <v>48</v>
      </c>
      <c r="D205" s="3" t="inlineStr">
        <is>
          <t>Klagenfurt</t>
        </is>
      </c>
      <c r="E205" s="10" t="n">
        <v>45668.52688657407</v>
      </c>
      <c r="F205" s="10" t="n">
        <v>45668.53383101852</v>
      </c>
      <c r="G205" s="10" t="n">
        <v>45668.53582175926</v>
      </c>
      <c r="H205" s="3" t="inlineStr">
        <is>
          <t>OBT110125130321-Klagenfurt</t>
        </is>
      </c>
      <c r="I205" s="10" t="n">
        <v>45668.5668287037</v>
      </c>
      <c r="J205" s="10" t="n">
        <v>45668.59182870371</v>
      </c>
      <c r="K205" s="10" t="n">
        <v>45668.59182870371</v>
      </c>
      <c r="L205" s="10" t="n">
        <v>45668.59255787037</v>
      </c>
      <c r="M205" s="11">
        <f>IF(AND(ISNUMBER(E205),ISNUMBER(G205)),(G205-E205),"")</f>
        <v/>
      </c>
      <c r="N205" s="11">
        <f>IF(AND(ISNUMBER(G205),ISNUMBER(L205)),(L205-G205),"")</f>
        <v/>
      </c>
      <c r="O205" s="10" t="n">
        <v>45668.54399305556</v>
      </c>
      <c r="P205" s="11">
        <f>IF(AND(ISNUMBER(I205),ISNUMBER(O205)),(I205-O205),"")</f>
        <v/>
      </c>
      <c r="Q205" s="12" t="inlineStr">
        <is>
          <t>WG 1206401 entered track and got coupled to WG 1206002, OBTP started on 13:36:14 finished on 14:12:14 and then left at 14:13:17</t>
        </is>
      </c>
    </row>
    <row r="206">
      <c r="A206" s="3" t="inlineStr">
        <is>
          <t>1206402</t>
        </is>
      </c>
      <c r="B206" s="3" t="inlineStr">
        <is>
          <t>12064</t>
        </is>
      </c>
      <c r="C206" s="9" t="n">
        <v>32</v>
      </c>
      <c r="D206" s="3" t="inlineStr">
        <is>
          <t>Ljubljana</t>
        </is>
      </c>
      <c r="E206" s="10" t="n">
        <v>45668.52688657407</v>
      </c>
      <c r="F206" s="10" t="n">
        <v>45668.53582175926</v>
      </c>
      <c r="G206" s="10" t="n">
        <v>45668.53788194444</v>
      </c>
      <c r="H206" s="3" t="inlineStr">
        <is>
          <t>OBT110125130204-Ljubljana</t>
        </is>
      </c>
      <c r="I206" s="10" t="n">
        <v>45668.54569444444</v>
      </c>
      <c r="J206" s="10" t="n">
        <v>45668.56513888889</v>
      </c>
      <c r="K206" s="10" t="n">
        <v>45668.56513888889</v>
      </c>
      <c r="L206" s="10" t="n">
        <v>45668.5658912037</v>
      </c>
      <c r="M206" s="11">
        <f>IF(AND(ISNUMBER(E206),ISNUMBER(G206)),(G206-E206),"")</f>
        <v/>
      </c>
      <c r="N206" s="11">
        <f>IF(AND(ISNUMBER(G206),ISNUMBER(L206)),(L206-G206),"")</f>
        <v/>
      </c>
      <c r="O206" s="10" t="n">
        <v>45668.54310185185</v>
      </c>
      <c r="P206" s="11">
        <f>IF(AND(ISNUMBER(I206),ISNUMBER(O206)),(I206-O206),"")</f>
        <v/>
      </c>
      <c r="Q206" s="12" t="inlineStr">
        <is>
          <t>WG 1206402 entered track and got coupled to WG 1206101, OBTP started on 13:05:48 finished on 13:33:48 and then left at 13:34:53</t>
        </is>
      </c>
    </row>
    <row r="207">
      <c r="A207" s="3" t="inlineStr">
        <is>
          <t>1206403</t>
        </is>
      </c>
      <c r="B207" s="3" t="inlineStr">
        <is>
          <t>12064</t>
        </is>
      </c>
      <c r="C207" s="9" t="n">
        <v>48</v>
      </c>
      <c r="D207" s="3" t="inlineStr">
        <is>
          <t>Klagenfurt</t>
        </is>
      </c>
      <c r="E207" s="10" t="n">
        <v>45668.52688657407</v>
      </c>
      <c r="F207" s="10" t="n">
        <v>45668.53788194444</v>
      </c>
      <c r="G207" s="10" t="n">
        <v>45668.53990740741</v>
      </c>
      <c r="H207" s="3" t="inlineStr">
        <is>
          <t>OBT120125084207-Klagenfurt</t>
        </is>
      </c>
      <c r="I207" s="10" t="n">
        <v>45669.36344907407</v>
      </c>
      <c r="J207" s="10" t="n">
        <v>45669.39122685185</v>
      </c>
      <c r="K207" s="10" t="n">
        <v>45669.39122685185</v>
      </c>
      <c r="L207" s="10" t="n">
        <v>45669.39215277778</v>
      </c>
      <c r="M207" s="11">
        <f>IF(AND(ISNUMBER(E207),ISNUMBER(G207)),(G207-E207),"")</f>
        <v/>
      </c>
      <c r="N207" s="11">
        <f>IF(AND(ISNUMBER(G207),ISNUMBER(L207)),(L207-G207),"")</f>
        <v/>
      </c>
      <c r="O207" s="10" t="n">
        <v>45668.54611111111</v>
      </c>
      <c r="P207" s="11">
        <f>IF(AND(ISNUMBER(I207),ISNUMBER(O207)),(I207-O207),"")</f>
        <v/>
      </c>
      <c r="Q207" s="12" t="inlineStr">
        <is>
          <t>WG 1206403 entered track and got secured then waited 19:20:21 for WG 1207001 to get coupled then waited 0:15:22 for cut 1207003+1207004 to get coupled, OBTP started on 08:43:22 finished on 09:23:22 and then left at 09:24:42</t>
        </is>
      </c>
    </row>
    <row r="208">
      <c r="A208" s="3" t="inlineStr">
        <is>
          <t>1206501</t>
        </is>
      </c>
      <c r="B208" s="3" t="inlineStr">
        <is>
          <t>12065</t>
        </is>
      </c>
      <c r="C208" s="9" t="n">
        <v>48</v>
      </c>
      <c r="D208" s="3" t="inlineStr">
        <is>
          <t>Ljubljana</t>
        </is>
      </c>
      <c r="E208" s="10" t="n">
        <v>45668.53774305555</v>
      </c>
      <c r="F208" s="10" t="n">
        <v>45668.54538194444</v>
      </c>
      <c r="G208" s="10" t="n">
        <v>45668.54681712963</v>
      </c>
      <c r="H208" s="3" t="inlineStr">
        <is>
          <t>OBT110125133600-Ljubljana</t>
        </is>
      </c>
      <c r="I208" s="10" t="n">
        <v>45668.5712037037</v>
      </c>
      <c r="J208" s="10" t="n">
        <v>45668.60175925926</v>
      </c>
      <c r="K208" s="10" t="n">
        <v>45668.60175925926</v>
      </c>
      <c r="L208" s="10" t="n">
        <v>45668.60259259259</v>
      </c>
      <c r="M208" s="11">
        <f>IF(AND(ISNUMBER(E208),ISNUMBER(G208)),(G208-E208),"")</f>
        <v/>
      </c>
      <c r="N208" s="11">
        <f>IF(AND(ISNUMBER(G208),ISNUMBER(L208)),(L208-G208),"")</f>
        <v/>
      </c>
      <c r="O208" s="10" t="n">
        <v>45668.55657407407</v>
      </c>
      <c r="P208" s="11">
        <f>IF(AND(ISNUMBER(I208),ISNUMBER(O208)),(I208-O208),"")</f>
        <v/>
      </c>
      <c r="Q208" s="12" t="inlineStr">
        <is>
          <t>WG 1206501 (already coupled to WG 1206502 from the inbound train) entered track and got secured then waited 0:14:32 for WG 1206504 to get coupled, OBTP started on 13:42:32 finished on 14:26:32 and then left at 14:27:44</t>
        </is>
      </c>
    </row>
    <row r="209">
      <c r="A209" s="3" t="inlineStr">
        <is>
          <t>1206502</t>
        </is>
      </c>
      <c r="B209" s="3" t="inlineStr">
        <is>
          <t>12065</t>
        </is>
      </c>
      <c r="C209" s="9" t="n">
        <v>48</v>
      </c>
      <c r="D209" s="3" t="inlineStr">
        <is>
          <t>Ljubljana</t>
        </is>
      </c>
      <c r="E209" s="10" t="n">
        <v>45668.53774305555</v>
      </c>
      <c r="F209" s="10" t="n">
        <v>45668.54538194444</v>
      </c>
      <c r="G209" s="10" t="n">
        <v>45668.54681712963</v>
      </c>
      <c r="H209" s="3" t="inlineStr">
        <is>
          <t>OBT110125133600-Ljubljana</t>
        </is>
      </c>
      <c r="I209" s="10" t="n">
        <v>45668.5712037037</v>
      </c>
      <c r="J209" s="10" t="n">
        <v>45668.60175925926</v>
      </c>
      <c r="K209" s="10" t="n">
        <v>45668.60175925926</v>
      </c>
      <c r="L209" s="10" t="n">
        <v>45668.60259259259</v>
      </c>
      <c r="M209" s="11">
        <f>IF(AND(ISNUMBER(E209),ISNUMBER(G209)),(G209-E209),"")</f>
        <v/>
      </c>
      <c r="N209" s="11">
        <f>IF(AND(ISNUMBER(G209),ISNUMBER(L209)),(L209-G209),"")</f>
        <v/>
      </c>
      <c r="O209" s="10" t="n">
        <v>45668.55657407407</v>
      </c>
      <c r="P209" s="11">
        <f>IF(AND(ISNUMBER(I209),ISNUMBER(O209)),(I209-O209),"")</f>
        <v/>
      </c>
      <c r="Q209" s="12" t="inlineStr">
        <is>
          <t>WG 1206502 (already coupled to WG 1206501 from the inbound train) entered track and got secured then waited 0:14:32 for WG 1206504 to get coupled, OBTP started on 13:42:32 finished on 14:26:32 and then left at 14:27:44</t>
        </is>
      </c>
    </row>
    <row r="210">
      <c r="A210" s="3" t="inlineStr">
        <is>
          <t>1206503</t>
        </is>
      </c>
      <c r="B210" s="3" t="inlineStr">
        <is>
          <t>12065</t>
        </is>
      </c>
      <c r="C210" s="9" t="n">
        <v>32</v>
      </c>
      <c r="D210" s="3" t="inlineStr">
        <is>
          <t>Budapest</t>
        </is>
      </c>
      <c r="E210" s="10" t="n">
        <v>45668.53774305555</v>
      </c>
      <c r="F210" s="10" t="n">
        <v>45668.54681712963</v>
      </c>
      <c r="G210" s="10" t="n">
        <v>45668.54857638889</v>
      </c>
      <c r="H210" s="3" t="inlineStr">
        <is>
          <t>OBT120125104405-Budapest</t>
        </is>
      </c>
      <c r="I210" s="10" t="n">
        <v>45669.4480787037</v>
      </c>
      <c r="J210" s="10" t="n">
        <v>45669.47030092592</v>
      </c>
      <c r="K210" s="10" t="n">
        <v>45669.47030092592</v>
      </c>
      <c r="L210" s="10" t="n">
        <v>45669.47113425926</v>
      </c>
      <c r="M210" s="11">
        <f>IF(AND(ISNUMBER(E210),ISNUMBER(G210)),(G210-E210),"")</f>
        <v/>
      </c>
      <c r="N210" s="11">
        <f>IF(AND(ISNUMBER(G210),ISNUMBER(L210)),(L210-G210),"")</f>
        <v/>
      </c>
      <c r="O210" s="10" t="n">
        <v>45668.55270833334</v>
      </c>
      <c r="P210" s="11">
        <f>IF(AND(ISNUMBER(I210),ISNUMBER(O210)),(I210-O210),"")</f>
        <v/>
      </c>
      <c r="Q210" s="12" t="inlineStr">
        <is>
          <t>WG 1206503 entered track and got secured then waited 21:15:41 for WG 1207201 to get coupled then waited 0:12:30 for WG 1207203 to get coupled, OBTP started on 10:45:14 finished on 11:17:14 and then left at 11:18:26</t>
        </is>
      </c>
    </row>
    <row r="211">
      <c r="A211" s="3" t="inlineStr">
        <is>
          <t>1206504</t>
        </is>
      </c>
      <c r="B211" s="3" t="inlineStr">
        <is>
          <t>12065</t>
        </is>
      </c>
      <c r="C211" s="9" t="n">
        <v>80</v>
      </c>
      <c r="D211" s="3" t="inlineStr">
        <is>
          <t>Ljubljana</t>
        </is>
      </c>
      <c r="E211" s="10" t="n">
        <v>45668.53774305555</v>
      </c>
      <c r="F211" s="10" t="n">
        <v>45668.54857638889</v>
      </c>
      <c r="G211" s="10" t="n">
        <v>45668.54997685185</v>
      </c>
      <c r="H211" s="3" t="inlineStr">
        <is>
          <t>OBT110125133600-Ljubljana</t>
        </is>
      </c>
      <c r="I211" s="10" t="n">
        <v>45668.5712037037</v>
      </c>
      <c r="J211" s="10" t="n">
        <v>45668.60175925926</v>
      </c>
      <c r="K211" s="10" t="n">
        <v>45668.60175925926</v>
      </c>
      <c r="L211" s="10" t="n">
        <v>45668.60259259259</v>
      </c>
      <c r="M211" s="11">
        <f>IF(AND(ISNUMBER(E211),ISNUMBER(G211)),(G211-E211),"")</f>
        <v/>
      </c>
      <c r="N211" s="11">
        <f>IF(AND(ISNUMBER(G211),ISNUMBER(L211)),(L211-G211),"")</f>
        <v/>
      </c>
      <c r="O211" s="10" t="n">
        <v>45668.56666666667</v>
      </c>
      <c r="P211" s="11">
        <f>IF(AND(ISNUMBER(I211),ISNUMBER(O211)),(I211-O211),"")</f>
        <v/>
      </c>
      <c r="Q211" s="12" t="inlineStr">
        <is>
          <t>WG 1206504 entered track and got coupled to cut 1206501+1206502, OBTP started on 13:42:32 finished on 14:26:32 and then left at 14:27:44</t>
        </is>
      </c>
    </row>
    <row r="212">
      <c r="A212" s="3" t="inlineStr">
        <is>
          <t>1206601</t>
        </is>
      </c>
      <c r="B212" s="3" t="inlineStr">
        <is>
          <t>12066</t>
        </is>
      </c>
      <c r="C212" s="9" t="n">
        <v>48</v>
      </c>
      <c r="D212" s="3" t="inlineStr">
        <is>
          <t>Vienna</t>
        </is>
      </c>
      <c r="E212" s="10" t="n">
        <v>45668.54626157408</v>
      </c>
      <c r="F212" s="10" t="n">
        <v>45668.5517824074</v>
      </c>
      <c r="G212" s="10" t="n">
        <v>45668.55346064815</v>
      </c>
      <c r="H212" s="3" t="inlineStr">
        <is>
          <t>OBT110125213155-Vienna</t>
        </is>
      </c>
      <c r="I212" s="10" t="n">
        <v>45668.89803240741</v>
      </c>
      <c r="J212" s="10" t="n">
        <v>45668.91747685185</v>
      </c>
      <c r="K212" s="10" t="n">
        <v>45668.91747685185</v>
      </c>
      <c r="L212" s="10" t="n">
        <v>45668.91833333333</v>
      </c>
      <c r="M212" s="11">
        <f>IF(AND(ISNUMBER(E212),ISNUMBER(G212)),(G212-E212),"")</f>
        <v/>
      </c>
      <c r="N212" s="11">
        <f>IF(AND(ISNUMBER(G212),ISNUMBER(L212)),(L212-G212),"")</f>
        <v/>
      </c>
      <c r="O212" s="10" t="n">
        <v>45668.56260416667</v>
      </c>
      <c r="P212" s="11">
        <f>IF(AND(ISNUMBER(I212),ISNUMBER(O212)),(I212-O212),"")</f>
        <v/>
      </c>
      <c r="Q212" s="12" t="inlineStr">
        <is>
          <t>WG 1206601 entered track and got secured then waited 8:01:46 for WG 1206801 to get coupled, OBTP started on 21:33:10 finished on 22:01:10 and then left at 22:02:24</t>
        </is>
      </c>
    </row>
    <row r="213">
      <c r="A213" s="3" t="inlineStr">
        <is>
          <t>1206602</t>
        </is>
      </c>
      <c r="B213" s="3" t="inlineStr">
        <is>
          <t>12066</t>
        </is>
      </c>
      <c r="C213" s="9" t="n">
        <v>48</v>
      </c>
      <c r="D213" s="3" t="inlineStr">
        <is>
          <t>Linz</t>
        </is>
      </c>
      <c r="E213" s="10" t="n">
        <v>45668.54626157408</v>
      </c>
      <c r="F213" s="10" t="n">
        <v>45668.55346064815</v>
      </c>
      <c r="G213" s="10" t="n">
        <v>45668.55503472222</v>
      </c>
      <c r="H213" s="3" t="inlineStr">
        <is>
          <t>OBT120125095853-Linz</t>
        </is>
      </c>
      <c r="I213" s="10" t="n">
        <v>45669.41667824074</v>
      </c>
      <c r="J213" s="10" t="n">
        <v>45669.43890046296</v>
      </c>
      <c r="K213" s="10" t="n">
        <v>45669.43890046296</v>
      </c>
      <c r="L213" s="10" t="n">
        <v>45669.43973379629</v>
      </c>
      <c r="M213" s="11">
        <f>IF(AND(ISNUMBER(E213),ISNUMBER(G213)),(G213-E213),"")</f>
        <v/>
      </c>
      <c r="N213" s="11">
        <f>IF(AND(ISNUMBER(G213),ISNUMBER(L213)),(L213-G213),"")</f>
        <v/>
      </c>
      <c r="O213" s="10" t="n">
        <v>45668.56862268518</v>
      </c>
      <c r="P213" s="11">
        <f>IF(AND(ISNUMBER(I213),ISNUMBER(O213)),(I213-O213),"")</f>
        <v/>
      </c>
      <c r="Q213" s="12" t="inlineStr">
        <is>
          <t>WG 1206602 entered track and got secured then waited 20:20:04 for WG 1207101 to get coupled, OBTP started on 10:00:01 finished on 10:32:01 and then left at 10:33:13</t>
        </is>
      </c>
    </row>
    <row r="214">
      <c r="A214" s="3" t="inlineStr">
        <is>
          <t>1206701</t>
        </is>
      </c>
      <c r="B214" s="3" t="inlineStr">
        <is>
          <t>12067</t>
        </is>
      </c>
      <c r="C214" s="9" t="n">
        <v>32</v>
      </c>
      <c r="D214" s="3" t="inlineStr">
        <is>
          <t>Graz</t>
        </is>
      </c>
      <c r="E214" s="10" t="n">
        <v>45668.75177083333</v>
      </c>
      <c r="F214" s="10" t="n">
        <v>45668.75693287037</v>
      </c>
      <c r="G214" s="10" t="n">
        <v>45668.75869212963</v>
      </c>
      <c r="H214" s="3" t="inlineStr">
        <is>
          <t>OBT110125215724-Graz</t>
        </is>
      </c>
      <c r="I214" s="10" t="n">
        <v>45668.91570601852</v>
      </c>
      <c r="J214" s="10" t="n">
        <v>45668.96015046296</v>
      </c>
      <c r="K214" s="10" t="n">
        <v>45668.96015046296</v>
      </c>
      <c r="L214" s="10" t="n">
        <v>45668.96125</v>
      </c>
      <c r="M214" s="11">
        <f>IF(AND(ISNUMBER(E214),ISNUMBER(G214)),(G214-E214),"")</f>
        <v/>
      </c>
      <c r="N214" s="11">
        <f>IF(AND(ISNUMBER(G214),ISNUMBER(L214)),(L214-G214),"")</f>
        <v/>
      </c>
      <c r="O214" s="10" t="n">
        <v>45668.76445601852</v>
      </c>
      <c r="P214" s="11">
        <f>IF(AND(ISNUMBER(I214),ISNUMBER(O214)),(I214-O214),"")</f>
        <v/>
      </c>
      <c r="Q214" s="12" t="inlineStr">
        <is>
          <t>WG 1206701 entered track and got coupled to WG 1206203 then waited 3:36:35 for cut 1206802+1206803+1206804 to get coupled, OBTP started on 21:58:37 finished on 23:02:37 and then left at 23:04:12</t>
        </is>
      </c>
    </row>
    <row r="215">
      <c r="A215" s="3" t="inlineStr">
        <is>
          <t>1206702</t>
        </is>
      </c>
      <c r="B215" s="3" t="inlineStr">
        <is>
          <t>12067</t>
        </is>
      </c>
      <c r="C215" s="9" t="n">
        <v>48</v>
      </c>
      <c r="D215" s="3" t="inlineStr">
        <is>
          <t>Innsbruck</t>
        </is>
      </c>
      <c r="E215" s="10" t="n">
        <v>45668.75177083333</v>
      </c>
      <c r="F215" s="10" t="n">
        <v>45668.75869212963</v>
      </c>
      <c r="G215" s="10" t="n">
        <v>45668.75993055556</v>
      </c>
      <c r="H215" s="3" t="inlineStr">
        <is>
          <t>OBT120125083654-Innsbruck</t>
        </is>
      </c>
      <c r="I215" s="10" t="n">
        <v>45669.35979166667</v>
      </c>
      <c r="J215" s="10" t="n">
        <v>45669.38479166666</v>
      </c>
      <c r="K215" s="10" t="n">
        <v>45669.38479166666</v>
      </c>
      <c r="L215" s="10" t="n">
        <v>45669.38559027778</v>
      </c>
      <c r="M215" s="11">
        <f>IF(AND(ISNUMBER(E215),ISNUMBER(G215)),(G215-E215),"")</f>
        <v/>
      </c>
      <c r="N215" s="11">
        <f>IF(AND(ISNUMBER(G215),ISNUMBER(L215)),(L215-G215),"")</f>
        <v/>
      </c>
      <c r="O215" s="10" t="n">
        <v>45668.76569444445</v>
      </c>
      <c r="P215" s="11">
        <f>IF(AND(ISNUMBER(I215),ISNUMBER(O215)),(I215-O215),"")</f>
        <v/>
      </c>
      <c r="Q215" s="12" t="inlineStr">
        <is>
          <t>WG 1206702 entered track and got secured then waited 14:08:25 for WG 1207002 to get coupled then waited 0:05:53 for WG 1207005 to get coupled, OBTP started on 08:38:06 finished on 09:14:06 and then left at 09:15:15</t>
        </is>
      </c>
    </row>
    <row r="216">
      <c r="A216" s="3" t="inlineStr">
        <is>
          <t>1206801</t>
        </is>
      </c>
      <c r="B216" s="3" t="inlineStr">
        <is>
          <t>12068</t>
        </is>
      </c>
      <c r="C216" s="9" t="n">
        <v>64</v>
      </c>
      <c r="D216" s="3" t="inlineStr">
        <is>
          <t>Vienna</t>
        </is>
      </c>
      <c r="E216" s="10" t="n">
        <v>45668.87729166666</v>
      </c>
      <c r="F216" s="10" t="n">
        <v>45668.88576388889</v>
      </c>
      <c r="G216" s="10" t="n">
        <v>45668.88748842593</v>
      </c>
      <c r="H216" s="3" t="inlineStr">
        <is>
          <t>OBT110125213155-Vienna</t>
        </is>
      </c>
      <c r="I216" s="10" t="n">
        <v>45668.89803240741</v>
      </c>
      <c r="J216" s="10" t="n">
        <v>45668.91747685185</v>
      </c>
      <c r="K216" s="10" t="n">
        <v>45668.91747685185</v>
      </c>
      <c r="L216" s="10" t="n">
        <v>45668.91833333333</v>
      </c>
      <c r="M216" s="11">
        <f>IF(AND(ISNUMBER(E216),ISNUMBER(G216)),(G216-E216),"")</f>
        <v/>
      </c>
      <c r="N216" s="11">
        <f>IF(AND(ISNUMBER(G216),ISNUMBER(L216)),(L216-G216),"")</f>
        <v/>
      </c>
      <c r="O216" s="10" t="n">
        <v>45668.89716435185</v>
      </c>
      <c r="P216" s="11">
        <f>IF(AND(ISNUMBER(I216),ISNUMBER(O216)),(I216-O216),"")</f>
        <v/>
      </c>
      <c r="Q216" s="12" t="inlineStr">
        <is>
          <t>WG 1206801 entered track and got coupled to WG 1206601, OBTP started on 21:33:10 finished on 22:01:10 and then left at 22:02:24</t>
        </is>
      </c>
    </row>
    <row r="217">
      <c r="A217" s="3" t="inlineStr">
        <is>
          <t>1206802</t>
        </is>
      </c>
      <c r="B217" s="3" t="inlineStr">
        <is>
          <t>12068</t>
        </is>
      </c>
      <c r="C217" s="9" t="n">
        <v>48</v>
      </c>
      <c r="D217" s="3" t="inlineStr">
        <is>
          <t>Graz</t>
        </is>
      </c>
      <c r="E217" s="10" t="n">
        <v>45668.87729166666</v>
      </c>
      <c r="F217" s="10" t="n">
        <v>45668.88748842593</v>
      </c>
      <c r="G217" s="10" t="n">
        <v>45668.88954861111</v>
      </c>
      <c r="H217" s="3" t="inlineStr">
        <is>
          <t>OBT110125215724-Graz</t>
        </is>
      </c>
      <c r="I217" s="10" t="n">
        <v>45668.91570601852</v>
      </c>
      <c r="J217" s="10" t="n">
        <v>45668.96015046296</v>
      </c>
      <c r="K217" s="10" t="n">
        <v>45668.96015046296</v>
      </c>
      <c r="L217" s="10" t="n">
        <v>45668.96125</v>
      </c>
      <c r="M217" s="11">
        <f>IF(AND(ISNUMBER(E217),ISNUMBER(G217)),(G217-E217),"")</f>
        <v/>
      </c>
      <c r="N217" s="11">
        <f>IF(AND(ISNUMBER(G217),ISNUMBER(L217)),(L217-G217),"")</f>
        <v/>
      </c>
      <c r="O217" s="10" t="n">
        <v>45668.91486111111</v>
      </c>
      <c r="P217" s="11">
        <f>IF(AND(ISNUMBER(I217),ISNUMBER(O217)),(I217-O217),"")</f>
        <v/>
      </c>
      <c r="Q217" s="12" t="inlineStr">
        <is>
          <t>WG 1206802 (already coupled to WG 1206803, WG 1206804 from the inbound train) entered track and got coupled to WG 1206701, OBTP started on 21:58:37 finished on 23:02:37 and then left at 23:04:12</t>
        </is>
      </c>
    </row>
    <row r="218">
      <c r="A218" s="3" t="inlineStr">
        <is>
          <t>1206803</t>
        </is>
      </c>
      <c r="B218" s="3" t="inlineStr">
        <is>
          <t>12068</t>
        </is>
      </c>
      <c r="C218" s="9" t="n">
        <v>64</v>
      </c>
      <c r="D218" s="3" t="inlineStr">
        <is>
          <t>Graz</t>
        </is>
      </c>
      <c r="E218" s="10" t="n">
        <v>45668.87729166666</v>
      </c>
      <c r="F218" s="10" t="n">
        <v>45668.88748842593</v>
      </c>
      <c r="G218" s="10" t="n">
        <v>45668.88954861111</v>
      </c>
      <c r="H218" s="3" t="inlineStr">
        <is>
          <t>OBT110125215724-Graz</t>
        </is>
      </c>
      <c r="I218" s="10" t="n">
        <v>45668.91570601852</v>
      </c>
      <c r="J218" s="10" t="n">
        <v>45668.96015046296</v>
      </c>
      <c r="K218" s="10" t="n">
        <v>45668.96015046296</v>
      </c>
      <c r="L218" s="10" t="n">
        <v>45668.96125</v>
      </c>
      <c r="M218" s="11">
        <f>IF(AND(ISNUMBER(E218),ISNUMBER(G218)),(G218-E218),"")</f>
        <v/>
      </c>
      <c r="N218" s="11">
        <f>IF(AND(ISNUMBER(G218),ISNUMBER(L218)),(L218-G218),"")</f>
        <v/>
      </c>
      <c r="O218" s="10" t="n">
        <v>45668.91486111111</v>
      </c>
      <c r="P218" s="11">
        <f>IF(AND(ISNUMBER(I218),ISNUMBER(O218)),(I218-O218),"")</f>
        <v/>
      </c>
      <c r="Q218" s="12" t="inlineStr">
        <is>
          <t>WG 1206803 (already coupled to WG 1206802, WG 1206804 from the inbound train) entered track and got coupled to WG 1206701, OBTP started on 21:58:37 finished on 23:02:37 and then left at 23:04:12</t>
        </is>
      </c>
    </row>
    <row r="219">
      <c r="A219" s="3" t="inlineStr">
        <is>
          <t>1206804</t>
        </is>
      </c>
      <c r="B219" s="3" t="inlineStr">
        <is>
          <t>12068</t>
        </is>
      </c>
      <c r="C219" s="9" t="n">
        <v>48</v>
      </c>
      <c r="D219" s="3" t="inlineStr">
        <is>
          <t>Graz</t>
        </is>
      </c>
      <c r="E219" s="10" t="n">
        <v>45668.87729166666</v>
      </c>
      <c r="F219" s="10" t="n">
        <v>45668.88748842593</v>
      </c>
      <c r="G219" s="10" t="n">
        <v>45668.88954861111</v>
      </c>
      <c r="H219" s="3" t="inlineStr">
        <is>
          <t>OBT110125215724-Graz</t>
        </is>
      </c>
      <c r="I219" s="10" t="n">
        <v>45668.91570601852</v>
      </c>
      <c r="J219" s="10" t="n">
        <v>45668.96015046296</v>
      </c>
      <c r="K219" s="10" t="n">
        <v>45668.96015046296</v>
      </c>
      <c r="L219" s="10" t="n">
        <v>45668.96125</v>
      </c>
      <c r="M219" s="11">
        <f>IF(AND(ISNUMBER(E219),ISNUMBER(G219)),(G219-E219),"")</f>
        <v/>
      </c>
      <c r="N219" s="11">
        <f>IF(AND(ISNUMBER(G219),ISNUMBER(L219)),(L219-G219),"")</f>
        <v/>
      </c>
      <c r="O219" s="10" t="n">
        <v>45668.91486111111</v>
      </c>
      <c r="P219" s="11">
        <f>IF(AND(ISNUMBER(I219),ISNUMBER(O219)),(I219-O219),"")</f>
        <v/>
      </c>
      <c r="Q219" s="12" t="inlineStr">
        <is>
          <t>WG 1206804 (already coupled to WG 1206802, WG 1206803 from the inbound train) entered track and got coupled to WG 1206701, OBTP started on 21:58:37 finished on 23:02:37 and then left at 23:04:12</t>
        </is>
      </c>
    </row>
    <row r="220">
      <c r="A220" s="3" t="inlineStr">
        <is>
          <t>1206805</t>
        </is>
      </c>
      <c r="B220" s="3" t="inlineStr">
        <is>
          <t>12068</t>
        </is>
      </c>
      <c r="C220" s="9" t="n">
        <v>80</v>
      </c>
      <c r="D220" s="3" t="inlineStr">
        <is>
          <t>Ljubljana</t>
        </is>
      </c>
      <c r="E220" s="10" t="n">
        <v>45668.87729166666</v>
      </c>
      <c r="F220" s="10" t="n">
        <v>45668.88954861111</v>
      </c>
      <c r="G220" s="10" t="n">
        <v>45668.89097222222</v>
      </c>
      <c r="H220" s="3" t="inlineStr">
        <is>
          <t>OBT120125121725-Ljubljana</t>
        </is>
      </c>
      <c r="I220" s="10" t="n">
        <v>45669.51293981481</v>
      </c>
      <c r="J220" s="10" t="n">
        <v>45669.53793981481</v>
      </c>
      <c r="K220" s="10" t="n">
        <v>45669.53793981481</v>
      </c>
      <c r="L220" s="10" t="n">
        <v>45669.53870370371</v>
      </c>
      <c r="M220" s="11">
        <f>IF(AND(ISNUMBER(E220),ISNUMBER(G220)),(G220-E220),"")</f>
        <v/>
      </c>
      <c r="N220" s="11">
        <f>IF(AND(ISNUMBER(G220),ISNUMBER(L220)),(L220-G220),"")</f>
        <v/>
      </c>
      <c r="O220" s="10" t="n">
        <v>45668.89996527778</v>
      </c>
      <c r="P220" s="11">
        <f>IF(AND(ISNUMBER(I220),ISNUMBER(O220)),(I220-O220),"")</f>
        <v/>
      </c>
      <c r="Q220" s="12" t="inlineStr">
        <is>
          <t>WG 1206805 entered track and got secured then waited 14:41:28 for WG 1207401 to get coupled, OBTP started on 12:18:38 finished on 12:54:38 and then left at 12:55:44</t>
        </is>
      </c>
    </row>
    <row r="221">
      <c r="A221" s="3" t="inlineStr">
        <is>
          <t>1206901</t>
        </is>
      </c>
      <c r="B221" s="3" t="inlineStr">
        <is>
          <t>12069</t>
        </is>
      </c>
      <c r="C221" s="9" t="n">
        <v>80</v>
      </c>
      <c r="D221" s="3" t="inlineStr">
        <is>
          <t>Salzburg</t>
        </is>
      </c>
      <c r="E221" s="10" t="n">
        <v>45668.98112268518</v>
      </c>
      <c r="F221" s="10" t="n">
        <v>45668.98686342593</v>
      </c>
      <c r="G221" s="10" t="n">
        <v>45668.98903935185</v>
      </c>
      <c r="H221" s="3" t="inlineStr">
        <is>
          <t>OBT120125000412-Salzburg</t>
        </is>
      </c>
      <c r="I221" s="10" t="n">
        <v>45669.00376157407</v>
      </c>
      <c r="J221" s="10" t="n">
        <v>45669.02598379629</v>
      </c>
      <c r="K221" s="10" t="n">
        <v>45669.02598379629</v>
      </c>
      <c r="L221" s="10" t="n">
        <v>45669.02666666666</v>
      </c>
      <c r="M221" s="11">
        <f>IF(AND(ISNUMBER(E221),ISNUMBER(G221)),(G221-E221),"")</f>
        <v/>
      </c>
      <c r="N221" s="11">
        <f>IF(AND(ISNUMBER(G221),ISNUMBER(L221)),(L221-G221),"")</f>
        <v/>
      </c>
      <c r="O221" s="10" t="n">
        <v>45669.00291666666</v>
      </c>
      <c r="P221" s="11">
        <f>IF(AND(ISNUMBER(I221),ISNUMBER(O221)),(I221-O221),"")</f>
        <v/>
      </c>
      <c r="Q221" s="12" t="inlineStr">
        <is>
          <t>WG 1206901 (already coupled to WG 1206902 from the inbound train) entered track and got secured, OBTP started on 00:05:25 finished on 00:37:25 and then left at 00:38:24</t>
        </is>
      </c>
    </row>
    <row r="222">
      <c r="A222" s="3" t="inlineStr">
        <is>
          <t>1206902</t>
        </is>
      </c>
      <c r="B222" s="3" t="inlineStr">
        <is>
          <t>12069</t>
        </is>
      </c>
      <c r="C222" s="9" t="n">
        <v>48</v>
      </c>
      <c r="D222" s="3" t="inlineStr">
        <is>
          <t>Salzburg</t>
        </is>
      </c>
      <c r="E222" s="10" t="n">
        <v>45668.98112268518</v>
      </c>
      <c r="F222" s="10" t="n">
        <v>45668.98686342593</v>
      </c>
      <c r="G222" s="10" t="n">
        <v>45668.98903935185</v>
      </c>
      <c r="H222" s="3" t="inlineStr">
        <is>
          <t>OBT120125000412-Salzburg</t>
        </is>
      </c>
      <c r="I222" s="10" t="n">
        <v>45669.00376157407</v>
      </c>
      <c r="J222" s="10" t="n">
        <v>45669.02598379629</v>
      </c>
      <c r="K222" s="10" t="n">
        <v>45669.02598379629</v>
      </c>
      <c r="L222" s="10" t="n">
        <v>45669.02666666666</v>
      </c>
      <c r="M222" s="11">
        <f>IF(AND(ISNUMBER(E222),ISNUMBER(G222)),(G222-E222),"")</f>
        <v/>
      </c>
      <c r="N222" s="11">
        <f>IF(AND(ISNUMBER(G222),ISNUMBER(L222)),(L222-G222),"")</f>
        <v/>
      </c>
      <c r="O222" s="10" t="n">
        <v>45669.00291666666</v>
      </c>
      <c r="P222" s="11">
        <f>IF(AND(ISNUMBER(I222),ISNUMBER(O222)),(I222-O222),"")</f>
        <v/>
      </c>
      <c r="Q222" s="12" t="inlineStr">
        <is>
          <t>WG 1206902 (already coupled to WG 1206901 from the inbound train) entered track and got secured, OBTP started on 00:05:25 finished on 00:37:25 and then left at 00:38:24</t>
        </is>
      </c>
    </row>
    <row r="223">
      <c r="A223" s="3" t="inlineStr">
        <is>
          <t>1206903</t>
        </is>
      </c>
      <c r="B223" s="3" t="inlineStr">
        <is>
          <t>12069</t>
        </is>
      </c>
      <c r="C223" s="9" t="n">
        <v>32</v>
      </c>
      <c r="D223" s="3" t="inlineStr">
        <is>
          <t>Vienna</t>
        </is>
      </c>
      <c r="E223" s="10" t="n">
        <v>45668.98112268518</v>
      </c>
      <c r="F223" s="10" t="n">
        <v>45668.98903935185</v>
      </c>
      <c r="G223" s="10" t="n">
        <v>45668.99109953704</v>
      </c>
      <c r="H223" s="3" t="inlineStr">
        <is>
          <t>OBT120125194018-Vienna</t>
        </is>
      </c>
      <c r="I223" s="10" t="n">
        <v>45669.82052083333</v>
      </c>
      <c r="J223" s="10" t="n">
        <v>45669.85385416666</v>
      </c>
      <c r="K223" s="10" t="n">
        <v>45669.85385416666</v>
      </c>
      <c r="L223" s="10" t="n">
        <v>45669.85479166666</v>
      </c>
      <c r="M223" s="11">
        <f>IF(AND(ISNUMBER(E223),ISNUMBER(G223)),(G223-E223),"")</f>
        <v/>
      </c>
      <c r="N223" s="11">
        <f>IF(AND(ISNUMBER(G223),ISNUMBER(L223)),(L223-G223),"")</f>
        <v/>
      </c>
      <c r="O223" s="10" t="n">
        <v>45668.99484953703</v>
      </c>
      <c r="P223" s="11">
        <f>IF(AND(ISNUMBER(I223),ISNUMBER(O223)),(I223-O223),"")</f>
        <v/>
      </c>
      <c r="Q223" s="12" t="inlineStr">
        <is>
          <t>WG 1206903 entered track and got secured then waited 10:01:11 for WG 1207102 to get coupled then waited 9:46:32 for cut 1207602+1207603 to get coupled, OBTP started on 19:41:33 finished on 20:29:33 and then left at 20:30:54</t>
        </is>
      </c>
    </row>
    <row r="224">
      <c r="A224" s="3" t="inlineStr">
        <is>
          <t>1207001</t>
        </is>
      </c>
      <c r="B224" s="3" t="inlineStr">
        <is>
          <t>12070</t>
        </is>
      </c>
      <c r="C224" s="9" t="n">
        <v>32</v>
      </c>
      <c r="D224" s="3" t="inlineStr">
        <is>
          <t>Klagenfurt</t>
        </is>
      </c>
      <c r="E224" s="10" t="n">
        <v>45669.33540509259</v>
      </c>
      <c r="F224" s="10" t="n">
        <v>45669.34418981482</v>
      </c>
      <c r="G224" s="10" t="n">
        <v>45669.34618055556</v>
      </c>
      <c r="H224" s="3" t="inlineStr">
        <is>
          <t>OBT120125084207-Klagenfurt</t>
        </is>
      </c>
      <c r="I224" s="10" t="n">
        <v>45669.36344907407</v>
      </c>
      <c r="J224" s="10" t="n">
        <v>45669.39122685185</v>
      </c>
      <c r="K224" s="10" t="n">
        <v>45669.39122685185</v>
      </c>
      <c r="L224" s="10" t="n">
        <v>45669.39215277778</v>
      </c>
      <c r="M224" s="11">
        <f>IF(AND(ISNUMBER(E224),ISNUMBER(G224)),(G224-E224),"")</f>
        <v/>
      </c>
      <c r="N224" s="11">
        <f>IF(AND(ISNUMBER(G224),ISNUMBER(L224)),(L224-G224),"")</f>
        <v/>
      </c>
      <c r="O224" s="10" t="n">
        <v>45669.35190972222</v>
      </c>
      <c r="P224" s="11">
        <f>IF(AND(ISNUMBER(I224),ISNUMBER(O224)),(I224-O224),"")</f>
        <v/>
      </c>
      <c r="Q224" s="12" t="inlineStr">
        <is>
          <t>WG 1207001 entered track and got coupled to WG 1206403 then waited 0:15:22 for cut 1207003+1207004 to get coupled, OBTP started on 08:43:22 finished on 09:23:22 and then left at 09:24:42</t>
        </is>
      </c>
    </row>
    <row r="225">
      <c r="A225" s="3" t="inlineStr">
        <is>
          <t>1207002</t>
        </is>
      </c>
      <c r="B225" s="3" t="inlineStr">
        <is>
          <t>12070</t>
        </is>
      </c>
      <c r="C225" s="9" t="n">
        <v>48</v>
      </c>
      <c r="D225" s="3" t="inlineStr">
        <is>
          <t>Innsbruck</t>
        </is>
      </c>
      <c r="E225" s="10" t="n">
        <v>45669.33540509259</v>
      </c>
      <c r="F225" s="10" t="n">
        <v>45669.34618055556</v>
      </c>
      <c r="G225" s="10" t="n">
        <v>45669.34741898148</v>
      </c>
      <c r="H225" s="3" t="inlineStr">
        <is>
          <t>OBT120125083654-Innsbruck</t>
        </is>
      </c>
      <c r="I225" s="10" t="n">
        <v>45669.35979166667</v>
      </c>
      <c r="J225" s="10" t="n">
        <v>45669.38479166666</v>
      </c>
      <c r="K225" s="10" t="n">
        <v>45669.38479166666</v>
      </c>
      <c r="L225" s="10" t="n">
        <v>45669.38559027778</v>
      </c>
      <c r="M225" s="11">
        <f>IF(AND(ISNUMBER(E225),ISNUMBER(G225)),(G225-E225),"")</f>
        <v/>
      </c>
      <c r="N225" s="11">
        <f>IF(AND(ISNUMBER(G225),ISNUMBER(L225)),(L225-G225),"")</f>
        <v/>
      </c>
      <c r="O225" s="10" t="n">
        <v>45669.35487268519</v>
      </c>
      <c r="P225" s="11">
        <f>IF(AND(ISNUMBER(I225),ISNUMBER(O225)),(I225-O225),"")</f>
        <v/>
      </c>
      <c r="Q225" s="12" t="inlineStr">
        <is>
          <t>WG 1207002 entered track and got coupled to WG 1206702 then waited 0:05:53 for WG 1207005 to get coupled, OBTP started on 08:38:06 finished on 09:14:06 and then left at 09:15:15</t>
        </is>
      </c>
    </row>
    <row r="226">
      <c r="A226" s="3" t="inlineStr">
        <is>
          <t>1207003</t>
        </is>
      </c>
      <c r="B226" s="3" t="inlineStr">
        <is>
          <t>12070</t>
        </is>
      </c>
      <c r="C226" s="9" t="n">
        <v>32</v>
      </c>
      <c r="D226" s="3" t="inlineStr">
        <is>
          <t>Klagenfurt</t>
        </is>
      </c>
      <c r="E226" s="10" t="n">
        <v>45669.33540509259</v>
      </c>
      <c r="F226" s="10" t="n">
        <v>45669.34741898148</v>
      </c>
      <c r="G226" s="10" t="n">
        <v>45669.34951388889</v>
      </c>
      <c r="H226" s="3" t="inlineStr">
        <is>
          <t>OBT120125084207-Klagenfurt</t>
        </is>
      </c>
      <c r="I226" s="10" t="n">
        <v>45669.36344907407</v>
      </c>
      <c r="J226" s="10" t="n">
        <v>45669.39122685185</v>
      </c>
      <c r="K226" s="10" t="n">
        <v>45669.39122685185</v>
      </c>
      <c r="L226" s="10" t="n">
        <v>45669.39215277778</v>
      </c>
      <c r="M226" s="11">
        <f>IF(AND(ISNUMBER(E226),ISNUMBER(G226)),(G226-E226),"")</f>
        <v/>
      </c>
      <c r="N226" s="11">
        <f>IF(AND(ISNUMBER(G226),ISNUMBER(L226)),(L226-G226),"")</f>
        <v/>
      </c>
      <c r="O226" s="10" t="n">
        <v>45669.36258101852</v>
      </c>
      <c r="P226" s="11">
        <f>IF(AND(ISNUMBER(I226),ISNUMBER(O226)),(I226-O226),"")</f>
        <v/>
      </c>
      <c r="Q226" s="12" t="inlineStr">
        <is>
          <t>WG 1207003 (already coupled to WG 1207004 from the inbound train) entered track and got coupled to WG 1207001, OBTP started on 08:43:22 finished on 09:23:22 and then left at 09:24:42</t>
        </is>
      </c>
    </row>
    <row r="227">
      <c r="A227" s="3" t="inlineStr">
        <is>
          <t>1207004</t>
        </is>
      </c>
      <c r="B227" s="3" t="inlineStr">
        <is>
          <t>12070</t>
        </is>
      </c>
      <c r="C227" s="9" t="n">
        <v>48</v>
      </c>
      <c r="D227" s="3" t="inlineStr">
        <is>
          <t>Klagenfurt</t>
        </is>
      </c>
      <c r="E227" s="10" t="n">
        <v>45669.33540509259</v>
      </c>
      <c r="F227" s="10" t="n">
        <v>45669.34741898148</v>
      </c>
      <c r="G227" s="10" t="n">
        <v>45669.34951388889</v>
      </c>
      <c r="H227" s="3" t="inlineStr">
        <is>
          <t>OBT120125084207-Klagenfurt</t>
        </is>
      </c>
      <c r="I227" s="10" t="n">
        <v>45669.36344907407</v>
      </c>
      <c r="J227" s="10" t="n">
        <v>45669.39122685185</v>
      </c>
      <c r="K227" s="10" t="n">
        <v>45669.39122685185</v>
      </c>
      <c r="L227" s="10" t="n">
        <v>45669.39215277778</v>
      </c>
      <c r="M227" s="11">
        <f>IF(AND(ISNUMBER(E227),ISNUMBER(G227)),(G227-E227),"")</f>
        <v/>
      </c>
      <c r="N227" s="11">
        <f>IF(AND(ISNUMBER(G227),ISNUMBER(L227)),(L227-G227),"")</f>
        <v/>
      </c>
      <c r="O227" s="10" t="n">
        <v>45669.36258101852</v>
      </c>
      <c r="P227" s="11">
        <f>IF(AND(ISNUMBER(I227),ISNUMBER(O227)),(I227-O227),"")</f>
        <v/>
      </c>
      <c r="Q227" s="12" t="inlineStr">
        <is>
          <t>WG 1207004 (already coupled to WG 1207003 from the inbound train) entered track and got coupled to WG 1207001, OBTP started on 08:43:22 finished on 09:23:22 and then left at 09:24:42</t>
        </is>
      </c>
    </row>
    <row r="228">
      <c r="A228" s="3" t="inlineStr">
        <is>
          <t>1207005</t>
        </is>
      </c>
      <c r="B228" s="3" t="inlineStr">
        <is>
          <t>12070</t>
        </is>
      </c>
      <c r="C228" s="9" t="n">
        <v>48</v>
      </c>
      <c r="D228" s="3" t="inlineStr">
        <is>
          <t>Innsbruck</t>
        </is>
      </c>
      <c r="E228" s="10" t="n">
        <v>45669.33540509259</v>
      </c>
      <c r="F228" s="10" t="n">
        <v>45669.34951388889</v>
      </c>
      <c r="G228" s="10" t="n">
        <v>45669.35075231481</v>
      </c>
      <c r="H228" s="3" t="inlineStr">
        <is>
          <t>OBT120125083654-Innsbruck</t>
        </is>
      </c>
      <c r="I228" s="10" t="n">
        <v>45669.35979166667</v>
      </c>
      <c r="J228" s="10" t="n">
        <v>45669.38479166666</v>
      </c>
      <c r="K228" s="10" t="n">
        <v>45669.38479166666</v>
      </c>
      <c r="L228" s="10" t="n">
        <v>45669.38559027778</v>
      </c>
      <c r="M228" s="11">
        <f>IF(AND(ISNUMBER(E228),ISNUMBER(G228)),(G228-E228),"")</f>
        <v/>
      </c>
      <c r="N228" s="11">
        <f>IF(AND(ISNUMBER(G228),ISNUMBER(L228)),(L228-G228),"")</f>
        <v/>
      </c>
      <c r="O228" s="10" t="n">
        <v>45669.35895833333</v>
      </c>
      <c r="P228" s="11">
        <f>IF(AND(ISNUMBER(I228),ISNUMBER(O228)),(I228-O228),"")</f>
        <v/>
      </c>
      <c r="Q228" s="12" t="inlineStr">
        <is>
          <t>WG 1207005 entered track and got coupled to WG 1207002, OBTP started on 08:38:06 finished on 09:14:06 and then left at 09:15:15</t>
        </is>
      </c>
    </row>
    <row r="229">
      <c r="A229" s="3" t="inlineStr">
        <is>
          <t>1207101</t>
        </is>
      </c>
      <c r="B229" s="3" t="inlineStr">
        <is>
          <t>12071</t>
        </is>
      </c>
      <c r="C229" s="9" t="n">
        <v>80</v>
      </c>
      <c r="D229" s="3" t="inlineStr">
        <is>
          <t>Linz</t>
        </is>
      </c>
      <c r="E229" s="10" t="n">
        <v>45669.39436342593</v>
      </c>
      <c r="F229" s="10" t="n">
        <v>45669.40114583333</v>
      </c>
      <c r="G229" s="10" t="n">
        <v>45669.40280092593</v>
      </c>
      <c r="H229" s="3" t="inlineStr">
        <is>
          <t>OBT120125095853-Linz</t>
        </is>
      </c>
      <c r="I229" s="10" t="n">
        <v>45669.41667824074</v>
      </c>
      <c r="J229" s="10" t="n">
        <v>45669.43890046296</v>
      </c>
      <c r="K229" s="10" t="n">
        <v>45669.43890046296</v>
      </c>
      <c r="L229" s="10" t="n">
        <v>45669.43973379629</v>
      </c>
      <c r="M229" s="11">
        <f>IF(AND(ISNUMBER(E229),ISNUMBER(G229)),(G229-E229),"")</f>
        <v/>
      </c>
      <c r="N229" s="11">
        <f>IF(AND(ISNUMBER(G229),ISNUMBER(L229)),(L229-G229),"")</f>
        <v/>
      </c>
      <c r="O229" s="10" t="n">
        <v>45669.4158912037</v>
      </c>
      <c r="P229" s="11">
        <f>IF(AND(ISNUMBER(I229),ISNUMBER(O229)),(I229-O229),"")</f>
        <v/>
      </c>
      <c r="Q229" s="12" t="inlineStr">
        <is>
          <t>WG 1207101 entered track and got coupled to WG 1206602, OBTP started on 10:00:01 finished on 10:32:01 and then left at 10:33:13</t>
        </is>
      </c>
    </row>
    <row r="230">
      <c r="A230" s="3" t="inlineStr">
        <is>
          <t>1207102</t>
        </is>
      </c>
      <c r="B230" s="3" t="inlineStr">
        <is>
          <t>12071</t>
        </is>
      </c>
      <c r="C230" s="9" t="n">
        <v>48</v>
      </c>
      <c r="D230" s="3" t="inlineStr">
        <is>
          <t>Vienna</t>
        </is>
      </c>
      <c r="E230" s="10" t="n">
        <v>45669.39436342593</v>
      </c>
      <c r="F230" s="10" t="n">
        <v>45669.40280092593</v>
      </c>
      <c r="G230" s="10" t="n">
        <v>45669.40489583334</v>
      </c>
      <c r="H230" s="3" t="inlineStr">
        <is>
          <t>OBT120125194018-Vienna</t>
        </is>
      </c>
      <c r="I230" s="10" t="n">
        <v>45669.82052083333</v>
      </c>
      <c r="J230" s="10" t="n">
        <v>45669.85385416666</v>
      </c>
      <c r="K230" s="10" t="n">
        <v>45669.85385416666</v>
      </c>
      <c r="L230" s="10" t="n">
        <v>45669.85479166666</v>
      </c>
      <c r="M230" s="11">
        <f>IF(AND(ISNUMBER(E230),ISNUMBER(G230)),(G230-E230),"")</f>
        <v/>
      </c>
      <c r="N230" s="11">
        <f>IF(AND(ISNUMBER(G230),ISNUMBER(L230)),(L230-G230),"")</f>
        <v/>
      </c>
      <c r="O230" s="10" t="n">
        <v>45669.41233796296</v>
      </c>
      <c r="P230" s="11">
        <f>IF(AND(ISNUMBER(I230),ISNUMBER(O230)),(I230-O230),"")</f>
        <v/>
      </c>
      <c r="Q230" s="12" t="inlineStr">
        <is>
          <t>WG 1207102 entered track and got coupled to WG 1206903 then waited 9:46:32 for cut 1207602+1207603 to get coupled, OBTP started on 19:41:33 finished on 20:29:33 and then left at 20:30:54</t>
        </is>
      </c>
    </row>
    <row r="231">
      <c r="A231" s="3" t="inlineStr">
        <is>
          <t>1207103</t>
        </is>
      </c>
      <c r="B231" s="3" t="inlineStr">
        <is>
          <t>12071</t>
        </is>
      </c>
      <c r="C231" s="9" t="n">
        <v>48</v>
      </c>
      <c r="D231" s="3" t="inlineStr">
        <is>
          <t>Linz</t>
        </is>
      </c>
      <c r="E231" s="10" t="n">
        <v>45669.39436342593</v>
      </c>
      <c r="F231" s="10" t="n">
        <v>45669.40489583334</v>
      </c>
      <c r="G231" s="10" t="n">
        <v>45669.40613425926</v>
      </c>
      <c r="H231" s="3" t="n"/>
      <c r="I231" s="10" t="n"/>
      <c r="J231" s="10" t="n"/>
      <c r="K231" s="10" t="n"/>
      <c r="L231" s="10" t="n"/>
      <c r="M231" s="11">
        <f>IF(AND(ISNUMBER(E231),ISNUMBER(G231)),(G231-E231),"")</f>
        <v/>
      </c>
      <c r="N231" s="11">
        <f>IF(AND(ISNUMBER(G231),ISNUMBER(L231)),(L231-G231),"")</f>
        <v/>
      </c>
      <c r="O231" s="10" t="n">
        <v>45669.41186342593</v>
      </c>
      <c r="P231" s="11">
        <f>IF(AND(ISNUMBER(I231),ISNUMBER(O231)),(I231-O231),"")</f>
        <v/>
      </c>
      <c r="Q231" s="12" t="n"/>
    </row>
    <row r="232">
      <c r="A232" s="3" t="inlineStr">
        <is>
          <t>1207201</t>
        </is>
      </c>
      <c r="B232" s="3" t="inlineStr">
        <is>
          <t>12072</t>
        </is>
      </c>
      <c r="C232" s="9" t="n">
        <v>32</v>
      </c>
      <c r="D232" s="3" t="inlineStr">
        <is>
          <t>Budapest</t>
        </is>
      </c>
      <c r="E232" s="10" t="n">
        <v>45669.42410879629</v>
      </c>
      <c r="F232" s="10" t="n">
        <v>45669.43105324074</v>
      </c>
      <c r="G232" s="10" t="n">
        <v>45669.43284722222</v>
      </c>
      <c r="H232" s="3" t="inlineStr">
        <is>
          <t>OBT120125104405-Budapest</t>
        </is>
      </c>
      <c r="I232" s="10" t="n">
        <v>45669.4480787037</v>
      </c>
      <c r="J232" s="10" t="n">
        <v>45669.47030092592</v>
      </c>
      <c r="K232" s="10" t="n">
        <v>45669.47030092592</v>
      </c>
      <c r="L232" s="10" t="n">
        <v>45669.47113425926</v>
      </c>
      <c r="M232" s="11">
        <f>IF(AND(ISNUMBER(E232),ISNUMBER(G232)),(G232-E232),"")</f>
        <v/>
      </c>
      <c r="N232" s="11">
        <f>IF(AND(ISNUMBER(G232),ISNUMBER(L232)),(L232-G232),"")</f>
        <v/>
      </c>
      <c r="O232" s="10" t="n">
        <v>45669.43859953704</v>
      </c>
      <c r="P232" s="11">
        <f>IF(AND(ISNUMBER(I232),ISNUMBER(O232)),(I232-O232),"")</f>
        <v/>
      </c>
      <c r="Q232" s="12" t="inlineStr">
        <is>
          <t>WG 1207201 entered track and got coupled to WG 1206503 then waited 0:12:30 for WG 1207203 to get coupled, OBTP started on 10:45:14 finished on 11:17:14 and then left at 11:18:26</t>
        </is>
      </c>
    </row>
    <row r="233">
      <c r="A233" s="3" t="inlineStr">
        <is>
          <t>1207202</t>
        </is>
      </c>
      <c r="B233" s="3" t="inlineStr">
        <is>
          <t>12072</t>
        </is>
      </c>
      <c r="C233" s="9" t="n">
        <v>32</v>
      </c>
      <c r="D233" s="3" t="inlineStr">
        <is>
          <t>Innsbruck</t>
        </is>
      </c>
      <c r="E233" s="10" t="n">
        <v>45669.42410879629</v>
      </c>
      <c r="F233" s="10" t="n">
        <v>45669.43284722222</v>
      </c>
      <c r="G233" s="10" t="n">
        <v>45669.43479166667</v>
      </c>
      <c r="H233" s="3" t="n"/>
      <c r="I233" s="10" t="n"/>
      <c r="J233" s="10" t="n"/>
      <c r="K233" s="10" t="n"/>
      <c r="L233" s="10" t="n"/>
      <c r="M233" s="11">
        <f>IF(AND(ISNUMBER(E233),ISNUMBER(G233)),(G233-E233),"")</f>
        <v/>
      </c>
      <c r="N233" s="11">
        <f>IF(AND(ISNUMBER(G233),ISNUMBER(L233)),(L233-G233),"")</f>
        <v/>
      </c>
      <c r="O233" s="10" t="n">
        <v>45669.43888888889</v>
      </c>
      <c r="P233" s="11">
        <f>IF(AND(ISNUMBER(I233),ISNUMBER(O233)),(I233-O233),"")</f>
        <v/>
      </c>
      <c r="Q233" s="12" t="n"/>
    </row>
    <row r="234">
      <c r="A234" s="3" t="inlineStr">
        <is>
          <t>1207203</t>
        </is>
      </c>
      <c r="B234" s="3" t="inlineStr">
        <is>
          <t>12072</t>
        </is>
      </c>
      <c r="C234" s="9" t="n">
        <v>64</v>
      </c>
      <c r="D234" s="3" t="inlineStr">
        <is>
          <t>Budapest</t>
        </is>
      </c>
      <c r="E234" s="10" t="n">
        <v>45669.42410879629</v>
      </c>
      <c r="F234" s="10" t="n">
        <v>45669.43479166667</v>
      </c>
      <c r="G234" s="10" t="n">
        <v>45669.43665509259</v>
      </c>
      <c r="H234" s="3" t="inlineStr">
        <is>
          <t>OBT120125104405-Budapest</t>
        </is>
      </c>
      <c r="I234" s="10" t="n">
        <v>45669.4480787037</v>
      </c>
      <c r="J234" s="10" t="n">
        <v>45669.47030092592</v>
      </c>
      <c r="K234" s="10" t="n">
        <v>45669.47030092592</v>
      </c>
      <c r="L234" s="10" t="n">
        <v>45669.47113425926</v>
      </c>
      <c r="M234" s="11">
        <f>IF(AND(ISNUMBER(E234),ISNUMBER(G234)),(G234-E234),"")</f>
        <v/>
      </c>
      <c r="N234" s="11">
        <f>IF(AND(ISNUMBER(G234),ISNUMBER(L234)),(L234-G234),"")</f>
        <v/>
      </c>
      <c r="O234" s="10" t="n">
        <v>45669.44728009259</v>
      </c>
      <c r="P234" s="11">
        <f>IF(AND(ISNUMBER(I234),ISNUMBER(O234)),(I234-O234),"")</f>
        <v/>
      </c>
      <c r="Q234" s="12" t="inlineStr">
        <is>
          <t>WG 1207203 entered track and got coupled to WG 1207201, OBTP started on 10:45:14 finished on 11:17:14 and then left at 11:18:26</t>
        </is>
      </c>
    </row>
    <row r="235">
      <c r="A235" s="3" t="inlineStr">
        <is>
          <t>1207301</t>
        </is>
      </c>
      <c r="B235" s="3" t="inlineStr">
        <is>
          <t>12073</t>
        </is>
      </c>
      <c r="C235" s="9" t="n">
        <v>80</v>
      </c>
      <c r="D235" s="3" t="inlineStr">
        <is>
          <t>Salzburg</t>
        </is>
      </c>
      <c r="E235" s="10" t="n">
        <v>45669.45964120371</v>
      </c>
      <c r="F235" s="10" t="n">
        <v>45669.46642361111</v>
      </c>
      <c r="G235" s="10" t="n">
        <v>45669.46829861111</v>
      </c>
      <c r="H235" s="3" t="inlineStr">
        <is>
          <t>OBT120125113345-Salzburg</t>
        </is>
      </c>
      <c r="I235" s="10" t="n">
        <v>45669.48261574074</v>
      </c>
      <c r="J235" s="10" t="n">
        <v>45669.50761574074</v>
      </c>
      <c r="K235" s="10" t="n">
        <v>45669.50761574074</v>
      </c>
      <c r="L235" s="10" t="n">
        <v>45669.50854166667</v>
      </c>
      <c r="M235" s="11">
        <f>IF(AND(ISNUMBER(E235),ISNUMBER(G235)),(G235-E235),"")</f>
        <v/>
      </c>
      <c r="N235" s="11">
        <f>IF(AND(ISNUMBER(G235),ISNUMBER(L235)),(L235-G235),"")</f>
        <v/>
      </c>
      <c r="O235" s="10" t="n">
        <v>45669.47729166667</v>
      </c>
      <c r="P235" s="11">
        <f>IF(AND(ISNUMBER(I235),ISNUMBER(O235)),(I235-O235),"")</f>
        <v/>
      </c>
      <c r="Q235" s="12" t="inlineStr">
        <is>
          <t>WG 1207301 entered track and got secured then waited 0:06:27 for WG 1207303 to get coupled, OBTP started on 11:34:58 finished on 12:10:58 and then left at 12:12:18</t>
        </is>
      </c>
    </row>
    <row r="236">
      <c r="A236" s="3" t="inlineStr">
        <is>
          <t>1207302</t>
        </is>
      </c>
      <c r="B236" s="3" t="inlineStr">
        <is>
          <t>12073</t>
        </is>
      </c>
      <c r="C236" s="9" t="n">
        <v>32</v>
      </c>
      <c r="D236" s="3" t="inlineStr">
        <is>
          <t>Innsbruck</t>
        </is>
      </c>
      <c r="E236" s="10" t="n">
        <v>45669.45964120371</v>
      </c>
      <c r="F236" s="10" t="n">
        <v>45669.46829861111</v>
      </c>
      <c r="G236" s="10" t="n">
        <v>45669.47025462963</v>
      </c>
      <c r="H236" s="3" t="n"/>
      <c r="I236" s="10" t="n"/>
      <c r="J236" s="10" t="n"/>
      <c r="K236" s="10" t="n"/>
      <c r="L236" s="10" t="n"/>
      <c r="M236" s="11">
        <f>IF(AND(ISNUMBER(E236),ISNUMBER(G236)),(G236-E236),"")</f>
        <v/>
      </c>
      <c r="N236" s="11">
        <f>IF(AND(ISNUMBER(G236),ISNUMBER(L236)),(L236-G236),"")</f>
        <v/>
      </c>
      <c r="O236" s="10" t="n">
        <v>45669.47600694445</v>
      </c>
      <c r="P236" s="11">
        <f>IF(AND(ISNUMBER(I236),ISNUMBER(O236)),(I236-O236),"")</f>
        <v/>
      </c>
      <c r="Q236" s="12" t="n"/>
    </row>
    <row r="237">
      <c r="A237" s="3" t="inlineStr">
        <is>
          <t>1207303</t>
        </is>
      </c>
      <c r="B237" s="3" t="inlineStr">
        <is>
          <t>12073</t>
        </is>
      </c>
      <c r="C237" s="9" t="n">
        <v>64</v>
      </c>
      <c r="D237" s="3" t="inlineStr">
        <is>
          <t>Salzburg</t>
        </is>
      </c>
      <c r="E237" s="10" t="n">
        <v>45669.45964120371</v>
      </c>
      <c r="F237" s="10" t="n">
        <v>45669.47025462963</v>
      </c>
      <c r="G237" s="10" t="n">
        <v>45669.47208333333</v>
      </c>
      <c r="H237" s="3" t="inlineStr">
        <is>
          <t>OBT120125113345-Salzburg</t>
        </is>
      </c>
      <c r="I237" s="10" t="n">
        <v>45669.48261574074</v>
      </c>
      <c r="J237" s="10" t="n">
        <v>45669.50761574074</v>
      </c>
      <c r="K237" s="10" t="n">
        <v>45669.50761574074</v>
      </c>
      <c r="L237" s="10" t="n">
        <v>45669.50854166667</v>
      </c>
      <c r="M237" s="11">
        <f>IF(AND(ISNUMBER(E237),ISNUMBER(G237)),(G237-E237),"")</f>
        <v/>
      </c>
      <c r="N237" s="11">
        <f>IF(AND(ISNUMBER(G237),ISNUMBER(L237)),(L237-G237),"")</f>
        <v/>
      </c>
      <c r="O237" s="10" t="n">
        <v>45669.48177083334</v>
      </c>
      <c r="P237" s="11">
        <f>IF(AND(ISNUMBER(I237),ISNUMBER(O237)),(I237-O237),"")</f>
        <v/>
      </c>
      <c r="Q237" s="12" t="inlineStr">
        <is>
          <t>WG 1207303 entered track and got coupled to WG 1207301, OBTP started on 11:34:58 finished on 12:10:58 and then left at 12:12:18</t>
        </is>
      </c>
    </row>
    <row r="238">
      <c r="A238" s="3" t="inlineStr">
        <is>
          <t>1207401</t>
        </is>
      </c>
      <c r="B238" s="3" t="inlineStr">
        <is>
          <t>12074</t>
        </is>
      </c>
      <c r="C238" s="9" t="n">
        <v>64</v>
      </c>
      <c r="D238" s="3" t="inlineStr">
        <is>
          <t>Ljubljana</t>
        </is>
      </c>
      <c r="E238" s="10" t="n">
        <v>45669.49366898148</v>
      </c>
      <c r="F238" s="10" t="n">
        <v>45669.50103009259</v>
      </c>
      <c r="G238" s="10" t="n">
        <v>45669.50240740741</v>
      </c>
      <c r="H238" s="3" t="inlineStr">
        <is>
          <t>OBT120125121725-Ljubljana</t>
        </is>
      </c>
      <c r="I238" s="10" t="n">
        <v>45669.51293981481</v>
      </c>
      <c r="J238" s="10" t="n">
        <v>45669.53793981481</v>
      </c>
      <c r="K238" s="10" t="n">
        <v>45669.53793981481</v>
      </c>
      <c r="L238" s="10" t="n">
        <v>45669.53870370371</v>
      </c>
      <c r="M238" s="11">
        <f>IF(AND(ISNUMBER(E238),ISNUMBER(G238)),(G238-E238),"")</f>
        <v/>
      </c>
      <c r="N238" s="11">
        <f>IF(AND(ISNUMBER(G238),ISNUMBER(L238)),(L238-G238),"")</f>
        <v/>
      </c>
      <c r="O238" s="10" t="n">
        <v>45669.5120949074</v>
      </c>
      <c r="P238" s="11">
        <f>IF(AND(ISNUMBER(I238),ISNUMBER(O238)),(I238-O238),"")</f>
        <v/>
      </c>
      <c r="Q238" s="12" t="inlineStr">
        <is>
          <t>WG 1207401 entered track and got coupled to WG 1206805, OBTP started on 12:18:38 finished on 12:54:38 and then left at 12:55:44</t>
        </is>
      </c>
    </row>
    <row r="239">
      <c r="A239" s="3" t="inlineStr">
        <is>
          <t>1207402</t>
        </is>
      </c>
      <c r="B239" s="3" t="inlineStr">
        <is>
          <t>12074</t>
        </is>
      </c>
      <c r="C239" s="9" t="n">
        <v>48</v>
      </c>
      <c r="D239" s="3" t="inlineStr">
        <is>
          <t>Klagenfurt</t>
        </is>
      </c>
      <c r="E239" s="10" t="n">
        <v>45669.49366898148</v>
      </c>
      <c r="F239" s="10" t="n">
        <v>45669.50240740741</v>
      </c>
      <c r="G239" s="10" t="n">
        <v>45669.50423611111</v>
      </c>
      <c r="H239" s="3" t="n"/>
      <c r="I239" s="10" t="n"/>
      <c r="J239" s="10" t="n"/>
      <c r="K239" s="10" t="n"/>
      <c r="L239" s="10" t="n"/>
      <c r="M239" s="11">
        <f>IF(AND(ISNUMBER(E239),ISNUMBER(G239)),(G239-E239),"")</f>
        <v/>
      </c>
      <c r="N239" s="11">
        <f>IF(AND(ISNUMBER(G239),ISNUMBER(L239)),(L239-G239),"")</f>
        <v/>
      </c>
      <c r="O239" s="10" t="n">
        <v>45669.50996527778</v>
      </c>
      <c r="P239" s="11">
        <f>IF(AND(ISNUMBER(I239),ISNUMBER(O239)),(I239-O239),"")</f>
        <v/>
      </c>
      <c r="Q239" s="12" t="n"/>
    </row>
    <row r="240">
      <c r="A240" s="3" t="inlineStr">
        <is>
          <t>1207403</t>
        </is>
      </c>
      <c r="B240" s="3" t="inlineStr">
        <is>
          <t>12074</t>
        </is>
      </c>
      <c r="C240" s="9" t="n">
        <v>64</v>
      </c>
      <c r="D240" s="3" t="inlineStr">
        <is>
          <t>Ljubljana</t>
        </is>
      </c>
      <c r="E240" s="10" t="n">
        <v>45669.49366898148</v>
      </c>
      <c r="F240" s="10" t="n">
        <v>45669.50423611111</v>
      </c>
      <c r="G240" s="10" t="n">
        <v>45669.50630787037</v>
      </c>
      <c r="H240" s="3" t="inlineStr">
        <is>
          <t>OBT120125162654-Ljubljana</t>
        </is>
      </c>
      <c r="I240" s="10" t="n">
        <v>45669.68621527778</v>
      </c>
      <c r="J240" s="10" t="n">
        <v>45669.70565972223</v>
      </c>
      <c r="K240" s="10" t="n">
        <v>45669.70565972223</v>
      </c>
      <c r="L240" s="10" t="n">
        <v>45669.70646990741</v>
      </c>
      <c r="M240" s="11">
        <f>IF(AND(ISNUMBER(E240),ISNUMBER(G240)),(G240-E240),"")</f>
        <v/>
      </c>
      <c r="N240" s="11">
        <f>IF(AND(ISNUMBER(G240),ISNUMBER(L240)),(L240-G240),"")</f>
        <v/>
      </c>
      <c r="O240" s="10" t="n">
        <v>45669.51369212963</v>
      </c>
      <c r="P240" s="11">
        <f>IF(AND(ISNUMBER(I240),ISNUMBER(O240)),(I240-O240),"")</f>
        <v/>
      </c>
      <c r="Q240" s="12" t="inlineStr">
        <is>
          <t>WG 1207403 entered track and got secured then waited 4:07:11 for WG 1207501 to get coupled, OBTP started on 16:28:09 finished on 16:56:09 and then left at 16:57:19</t>
        </is>
      </c>
    </row>
    <row r="241">
      <c r="A241" s="3" t="inlineStr">
        <is>
          <t>1207501</t>
        </is>
      </c>
      <c r="B241" s="3" t="inlineStr">
        <is>
          <t>12075</t>
        </is>
      </c>
      <c r="C241" s="9" t="n">
        <v>48</v>
      </c>
      <c r="D241" s="3" t="inlineStr">
        <is>
          <t>Ljubljana</t>
        </is>
      </c>
      <c r="E241" s="10" t="n">
        <v>45669.66858796297</v>
      </c>
      <c r="F241" s="10" t="n">
        <v>45669.67515046296</v>
      </c>
      <c r="G241" s="10" t="n">
        <v>45669.67717592593</v>
      </c>
      <c r="H241" s="3" t="inlineStr">
        <is>
          <t>OBT120125162654-Ljubljana</t>
        </is>
      </c>
      <c r="I241" s="10" t="n">
        <v>45669.68621527778</v>
      </c>
      <c r="J241" s="10" t="n">
        <v>45669.70565972223</v>
      </c>
      <c r="K241" s="10" t="n">
        <v>45669.70565972223</v>
      </c>
      <c r="L241" s="10" t="n">
        <v>45669.70646990741</v>
      </c>
      <c r="M241" s="11">
        <f>IF(AND(ISNUMBER(E241),ISNUMBER(G241)),(G241-E241),"")</f>
        <v/>
      </c>
      <c r="N241" s="11">
        <f>IF(AND(ISNUMBER(G241),ISNUMBER(L241)),(L241-G241),"")</f>
        <v/>
      </c>
      <c r="O241" s="10" t="n">
        <v>45669.68534722222</v>
      </c>
      <c r="P241" s="11">
        <f>IF(AND(ISNUMBER(I241),ISNUMBER(O241)),(I241-O241),"")</f>
        <v/>
      </c>
      <c r="Q241" s="12" t="inlineStr">
        <is>
          <t>WG 1207501 entered track and got coupled to WG 1207403, OBTP started on 16:28:09 finished on 16:56:09 and then left at 16:57:19</t>
        </is>
      </c>
    </row>
    <row r="242">
      <c r="A242" s="3" t="inlineStr">
        <is>
          <t>1207502</t>
        </is>
      </c>
      <c r="B242" s="3" t="inlineStr">
        <is>
          <t>12075</t>
        </is>
      </c>
      <c r="C242" s="9" t="n">
        <v>32</v>
      </c>
      <c r="D242" s="3" t="inlineStr">
        <is>
          <t>Budapest</t>
        </is>
      </c>
      <c r="E242" s="10" t="n">
        <v>45669.66858796297</v>
      </c>
      <c r="F242" s="10" t="n">
        <v>45669.67717592593</v>
      </c>
      <c r="G242" s="10" t="n">
        <v>45669.67849537037</v>
      </c>
      <c r="H242" s="3" t="inlineStr">
        <is>
          <t>OBT120125230501-Budapest</t>
        </is>
      </c>
      <c r="I242" s="10" t="n">
        <v>45669.96267361111</v>
      </c>
      <c r="J242" s="10" t="n">
        <v>45670.01545138889</v>
      </c>
      <c r="K242" s="10" t="n">
        <v>45670.01545138889</v>
      </c>
      <c r="L242" s="10" t="n">
        <v>45670.01657407408</v>
      </c>
      <c r="M242" s="11">
        <f>IF(AND(ISNUMBER(E242),ISNUMBER(G242)),(G242-E242),"")</f>
        <v/>
      </c>
      <c r="N242" s="11">
        <f>IF(AND(ISNUMBER(G242),ISNUMBER(L242)),(L242-G242),"")</f>
        <v/>
      </c>
      <c r="O242" s="10" t="n">
        <v>45669.68261574074</v>
      </c>
      <c r="P242" s="11">
        <f>IF(AND(ISNUMBER(I242),ISNUMBER(O242)),(I242-O242),"")</f>
        <v/>
      </c>
      <c r="Q242" s="12" t="inlineStr">
        <is>
          <t>WG 1207502 entered track and got secured then waited 3:02:22 for WG 1207601 to get coupled then waited 3:39:41 for cut 1207701+1207702+1207703+1207704+1207705 to get coupled, OBTP started on 23:06:15 finished on 00:22:15 and then left at 00:23:52</t>
        </is>
      </c>
    </row>
    <row r="243">
      <c r="A243" s="3" t="inlineStr">
        <is>
          <t>1207503</t>
        </is>
      </c>
      <c r="B243" s="3" t="inlineStr">
        <is>
          <t>12075</t>
        </is>
      </c>
      <c r="C243" s="9" t="n">
        <v>64</v>
      </c>
      <c r="D243" s="3" t="inlineStr">
        <is>
          <t>Ljubljana</t>
        </is>
      </c>
      <c r="E243" s="10" t="n">
        <v>45669.66858796297</v>
      </c>
      <c r="F243" s="10" t="n">
        <v>45669.67849537037</v>
      </c>
      <c r="G243" s="10" t="n">
        <v>45669.68032407408</v>
      </c>
      <c r="H243" s="3" t="n"/>
      <c r="I243" s="10" t="n"/>
      <c r="J243" s="10" t="n"/>
      <c r="K243" s="10" t="n"/>
      <c r="L243" s="10" t="n"/>
      <c r="M243" s="11">
        <f>IF(AND(ISNUMBER(E243),ISNUMBER(G243)),(G243-E243),"")</f>
        <v/>
      </c>
      <c r="N243" s="11">
        <f>IF(AND(ISNUMBER(G243),ISNUMBER(L243)),(L243-G243),"")</f>
        <v/>
      </c>
      <c r="O243" s="10" t="n">
        <v>45669.68769675926</v>
      </c>
      <c r="P243" s="11">
        <f>IF(AND(ISNUMBER(I243),ISNUMBER(O243)),(I243-O243),"")</f>
        <v/>
      </c>
      <c r="Q243" s="12" t="n"/>
    </row>
    <row r="244">
      <c r="A244" s="3" t="inlineStr">
        <is>
          <t>1207601</t>
        </is>
      </c>
      <c r="B244" s="3" t="inlineStr">
        <is>
          <t>12076</t>
        </is>
      </c>
      <c r="C244" s="9" t="n">
        <v>48</v>
      </c>
      <c r="D244" s="3" t="inlineStr">
        <is>
          <t>Budapest</t>
        </is>
      </c>
      <c r="E244" s="10" t="n">
        <v>45669.79362268518</v>
      </c>
      <c r="F244" s="10" t="n">
        <v>45669.79969907407</v>
      </c>
      <c r="G244" s="10" t="n">
        <v>45669.80105324074</v>
      </c>
      <c r="H244" s="3" t="inlineStr">
        <is>
          <t>OBT120125230501-Budapest</t>
        </is>
      </c>
      <c r="I244" s="10" t="n">
        <v>45669.96267361111</v>
      </c>
      <c r="J244" s="10" t="n">
        <v>45670.01545138889</v>
      </c>
      <c r="K244" s="10" t="n">
        <v>45670.01545138889</v>
      </c>
      <c r="L244" s="10" t="n">
        <v>45670.01657407408</v>
      </c>
      <c r="M244" s="11">
        <f>IF(AND(ISNUMBER(E244),ISNUMBER(G244)),(G244-E244),"")</f>
        <v/>
      </c>
      <c r="N244" s="11">
        <f>IF(AND(ISNUMBER(G244),ISNUMBER(L244)),(L244-G244),"")</f>
        <v/>
      </c>
      <c r="O244" s="10" t="n">
        <v>45669.80925925926</v>
      </c>
      <c r="P244" s="11">
        <f>IF(AND(ISNUMBER(I244),ISNUMBER(O244)),(I244-O244),"")</f>
        <v/>
      </c>
      <c r="Q244" s="12" t="inlineStr">
        <is>
          <t>WG 1207601 entered track and got coupled to WG 1207502 then waited 3:39:41 for cut 1207701+1207702+1207703+1207704+1207705 to get coupled, OBTP started on 23:06:15 finished on 00:22:15 and then left at 00:23:52</t>
        </is>
      </c>
    </row>
    <row r="245">
      <c r="A245" s="3" t="inlineStr">
        <is>
          <t>1207602</t>
        </is>
      </c>
      <c r="B245" s="3" t="inlineStr">
        <is>
          <t>12076</t>
        </is>
      </c>
      <c r="C245" s="9" t="n">
        <v>48</v>
      </c>
      <c r="D245" s="3" t="inlineStr">
        <is>
          <t>Vienna</t>
        </is>
      </c>
      <c r="E245" s="10" t="n">
        <v>45669.79362268518</v>
      </c>
      <c r="F245" s="10" t="n">
        <v>45669.80105324074</v>
      </c>
      <c r="G245" s="10" t="n">
        <v>45669.80329861111</v>
      </c>
      <c r="H245" s="3" t="inlineStr">
        <is>
          <t>OBT120125194018-Vienna</t>
        </is>
      </c>
      <c r="I245" s="10" t="n">
        <v>45669.82052083333</v>
      </c>
      <c r="J245" s="10" t="n">
        <v>45669.85385416666</v>
      </c>
      <c r="K245" s="10" t="n">
        <v>45669.85385416666</v>
      </c>
      <c r="L245" s="10" t="n">
        <v>45669.85479166666</v>
      </c>
      <c r="M245" s="11">
        <f>IF(AND(ISNUMBER(E245),ISNUMBER(G245)),(G245-E245),"")</f>
        <v/>
      </c>
      <c r="N245" s="11">
        <f>IF(AND(ISNUMBER(G245),ISNUMBER(L245)),(L245-G245),"")</f>
        <v/>
      </c>
      <c r="O245" s="10" t="n">
        <v>45669.81965277778</v>
      </c>
      <c r="P245" s="11">
        <f>IF(AND(ISNUMBER(I245),ISNUMBER(O245)),(I245-O245),"")</f>
        <v/>
      </c>
      <c r="Q245" s="12" t="inlineStr">
        <is>
          <t>WG 1207602 (already coupled to WG 1207603 from the inbound train) entered track and got coupled to WG 1207102, OBTP started on 19:41:33 finished on 20:29:33 and then left at 20:30:54</t>
        </is>
      </c>
    </row>
    <row r="246">
      <c r="A246" s="3" t="inlineStr">
        <is>
          <t>1207603</t>
        </is>
      </c>
      <c r="B246" s="3" t="inlineStr">
        <is>
          <t>12076</t>
        </is>
      </c>
      <c r="C246" s="9" t="n">
        <v>64</v>
      </c>
      <c r="D246" s="3" t="inlineStr">
        <is>
          <t>Vienna</t>
        </is>
      </c>
      <c r="E246" s="10" t="n">
        <v>45669.79362268518</v>
      </c>
      <c r="F246" s="10" t="n">
        <v>45669.80105324074</v>
      </c>
      <c r="G246" s="10" t="n">
        <v>45669.80329861111</v>
      </c>
      <c r="H246" s="3" t="inlineStr">
        <is>
          <t>OBT120125194018-Vienna</t>
        </is>
      </c>
      <c r="I246" s="10" t="n">
        <v>45669.82052083333</v>
      </c>
      <c r="J246" s="10" t="n">
        <v>45669.85385416666</v>
      </c>
      <c r="K246" s="10" t="n">
        <v>45669.85385416666</v>
      </c>
      <c r="L246" s="10" t="n">
        <v>45669.85479166666</v>
      </c>
      <c r="M246" s="11">
        <f>IF(AND(ISNUMBER(E246),ISNUMBER(G246)),(G246-E246),"")</f>
        <v/>
      </c>
      <c r="N246" s="11">
        <f>IF(AND(ISNUMBER(G246),ISNUMBER(L246)),(L246-G246),"")</f>
        <v/>
      </c>
      <c r="O246" s="10" t="n">
        <v>45669.81965277778</v>
      </c>
      <c r="P246" s="11">
        <f>IF(AND(ISNUMBER(I246),ISNUMBER(O246)),(I246-O246),"")</f>
        <v/>
      </c>
      <c r="Q246" s="12" t="inlineStr">
        <is>
          <t>WG 1207603 (already coupled to WG 1207602 from the inbound train) entered track and got coupled to WG 1207102, OBTP started on 19:41:33 finished on 20:29:33 and then left at 20:30:54</t>
        </is>
      </c>
    </row>
    <row r="247">
      <c r="A247" s="3" t="inlineStr">
        <is>
          <t>1207701</t>
        </is>
      </c>
      <c r="B247" s="3" t="inlineStr">
        <is>
          <t>12077</t>
        </is>
      </c>
      <c r="C247" s="9" t="n">
        <v>32</v>
      </c>
      <c r="D247" s="3" t="inlineStr">
        <is>
          <t>Budapest</t>
        </is>
      </c>
      <c r="E247" s="10" t="n">
        <v>45669.91877314815</v>
      </c>
      <c r="F247" s="10" t="n">
        <v>45669.92497685185</v>
      </c>
      <c r="G247" s="10" t="n">
        <v>45669.92673611111</v>
      </c>
      <c r="H247" s="3" t="inlineStr">
        <is>
          <t>OBT120125230501-Budapest</t>
        </is>
      </c>
      <c r="I247" s="10" t="n">
        <v>45669.96267361111</v>
      </c>
      <c r="J247" s="10" t="n">
        <v>45670.01545138889</v>
      </c>
      <c r="K247" s="10" t="n">
        <v>45670.01545138889</v>
      </c>
      <c r="L247" s="10" t="n">
        <v>45670.01657407408</v>
      </c>
      <c r="M247" s="11">
        <f>IF(AND(ISNUMBER(E247),ISNUMBER(G247)),(G247-E247),"")</f>
        <v/>
      </c>
      <c r="N247" s="11">
        <f>IF(AND(ISNUMBER(G247),ISNUMBER(L247)),(L247-G247),"")</f>
        <v/>
      </c>
      <c r="O247" s="10" t="n">
        <v>45669.96181712963</v>
      </c>
      <c r="P247" s="11">
        <f>IF(AND(ISNUMBER(I247),ISNUMBER(O247)),(I247-O247),"")</f>
        <v/>
      </c>
      <c r="Q247" s="12" t="inlineStr">
        <is>
          <t>WG 1207701 (already coupled to WG 1207702, WG 1207703, WG 1207704, WG 1207705 from the inbound train) entered track and got coupled to WG 1207601, OBTP started on 23:06:15 finished on 00:22:15 and then left at 00:23:52</t>
        </is>
      </c>
    </row>
    <row r="248">
      <c r="A248" s="3" t="inlineStr">
        <is>
          <t>1207702</t>
        </is>
      </c>
      <c r="B248" s="3" t="inlineStr">
        <is>
          <t>12077</t>
        </is>
      </c>
      <c r="C248" s="9" t="n">
        <v>48</v>
      </c>
      <c r="D248" s="3" t="inlineStr">
        <is>
          <t>Budapest</t>
        </is>
      </c>
      <c r="E248" s="10" t="n">
        <v>45669.91877314815</v>
      </c>
      <c r="F248" s="10" t="n">
        <v>45669.92497685185</v>
      </c>
      <c r="G248" s="10" t="n">
        <v>45669.92673611111</v>
      </c>
      <c r="H248" s="3" t="inlineStr">
        <is>
          <t>OBT120125230501-Budapest</t>
        </is>
      </c>
      <c r="I248" s="10" t="n">
        <v>45669.96267361111</v>
      </c>
      <c r="J248" s="10" t="n">
        <v>45670.01545138889</v>
      </c>
      <c r="K248" s="10" t="n">
        <v>45670.01545138889</v>
      </c>
      <c r="L248" s="10" t="n">
        <v>45670.01657407408</v>
      </c>
      <c r="M248" s="11">
        <f>IF(AND(ISNUMBER(E248),ISNUMBER(G248)),(G248-E248),"")</f>
        <v/>
      </c>
      <c r="N248" s="11">
        <f>IF(AND(ISNUMBER(G248),ISNUMBER(L248)),(L248-G248),"")</f>
        <v/>
      </c>
      <c r="O248" s="10" t="n">
        <v>45669.96181712963</v>
      </c>
      <c r="P248" s="11">
        <f>IF(AND(ISNUMBER(I248),ISNUMBER(O248)),(I248-O248),"")</f>
        <v/>
      </c>
      <c r="Q248" s="12" t="inlineStr">
        <is>
          <t>WG 1207702 (already coupled to WG 1207701, WG 1207703, WG 1207704, WG 1207705 from the inbound train) entered track and got coupled to WG 1207601, OBTP started on 23:06:15 finished on 00:22:15 and then left at 00:23:52</t>
        </is>
      </c>
    </row>
    <row r="249">
      <c r="A249" s="3" t="inlineStr">
        <is>
          <t>1207703</t>
        </is>
      </c>
      <c r="B249" s="3" t="inlineStr">
        <is>
          <t>12077</t>
        </is>
      </c>
      <c r="C249" s="9" t="n">
        <v>48</v>
      </c>
      <c r="D249" s="3" t="inlineStr">
        <is>
          <t>Budapest</t>
        </is>
      </c>
      <c r="E249" s="10" t="n">
        <v>45669.91877314815</v>
      </c>
      <c r="F249" s="10" t="n">
        <v>45669.92497685185</v>
      </c>
      <c r="G249" s="10" t="n">
        <v>45669.92673611111</v>
      </c>
      <c r="H249" s="3" t="inlineStr">
        <is>
          <t>OBT120125230501-Budapest</t>
        </is>
      </c>
      <c r="I249" s="10" t="n">
        <v>45669.96267361111</v>
      </c>
      <c r="J249" s="10" t="n">
        <v>45670.01545138889</v>
      </c>
      <c r="K249" s="10" t="n">
        <v>45670.01545138889</v>
      </c>
      <c r="L249" s="10" t="n">
        <v>45670.01657407408</v>
      </c>
      <c r="M249" s="11">
        <f>IF(AND(ISNUMBER(E249),ISNUMBER(G249)),(G249-E249),"")</f>
        <v/>
      </c>
      <c r="N249" s="11">
        <f>IF(AND(ISNUMBER(G249),ISNUMBER(L249)),(L249-G249),"")</f>
        <v/>
      </c>
      <c r="O249" s="10" t="n">
        <v>45669.96181712963</v>
      </c>
      <c r="P249" s="11">
        <f>IF(AND(ISNUMBER(I249),ISNUMBER(O249)),(I249-O249),"")</f>
        <v/>
      </c>
      <c r="Q249" s="12" t="inlineStr">
        <is>
          <t>WG 1207703 (already coupled to WG 1207701, WG 1207702, WG 1207704, WG 1207705 from the inbound train) entered track and got coupled to WG 1207601, OBTP started on 23:06:15 finished on 00:22:15 and then left at 00:23:52</t>
        </is>
      </c>
    </row>
    <row r="250">
      <c r="A250" s="3" t="inlineStr">
        <is>
          <t>1207704</t>
        </is>
      </c>
      <c r="B250" s="3" t="inlineStr">
        <is>
          <t>12077</t>
        </is>
      </c>
      <c r="C250" s="9" t="n">
        <v>32</v>
      </c>
      <c r="D250" s="3" t="inlineStr">
        <is>
          <t>Budapest</t>
        </is>
      </c>
      <c r="E250" s="10" t="n">
        <v>45669.91877314815</v>
      </c>
      <c r="F250" s="10" t="n">
        <v>45669.92497685185</v>
      </c>
      <c r="G250" s="10" t="n">
        <v>45669.92673611111</v>
      </c>
      <c r="H250" s="3" t="inlineStr">
        <is>
          <t>OBT120125230501-Budapest</t>
        </is>
      </c>
      <c r="I250" s="10" t="n">
        <v>45669.96267361111</v>
      </c>
      <c r="J250" s="10" t="n">
        <v>45670.01545138889</v>
      </c>
      <c r="K250" s="10" t="n">
        <v>45670.01545138889</v>
      </c>
      <c r="L250" s="10" t="n">
        <v>45670.01657407408</v>
      </c>
      <c r="M250" s="11">
        <f>IF(AND(ISNUMBER(E250),ISNUMBER(G250)),(G250-E250),"")</f>
        <v/>
      </c>
      <c r="N250" s="11">
        <f>IF(AND(ISNUMBER(G250),ISNUMBER(L250)),(L250-G250),"")</f>
        <v/>
      </c>
      <c r="O250" s="10" t="n">
        <v>45669.96181712963</v>
      </c>
      <c r="P250" s="11">
        <f>IF(AND(ISNUMBER(I250),ISNUMBER(O250)),(I250-O250),"")</f>
        <v/>
      </c>
      <c r="Q250" s="12" t="inlineStr">
        <is>
          <t>WG 1207704 (already coupled to WG 1207701, WG 1207702, WG 1207703, WG 1207705 from the inbound train) entered track and got coupled to WG 1207601, OBTP started on 23:06:15 finished on 00:22:15 and then left at 00:23:52</t>
        </is>
      </c>
    </row>
    <row r="251">
      <c r="A251" s="3" t="inlineStr">
        <is>
          <t>1207705</t>
        </is>
      </c>
      <c r="B251" s="3" t="inlineStr">
        <is>
          <t>12077</t>
        </is>
      </c>
      <c r="C251" s="9" t="n">
        <v>64</v>
      </c>
      <c r="D251" s="3" t="inlineStr">
        <is>
          <t>Budapest</t>
        </is>
      </c>
      <c r="E251" s="10" t="n">
        <v>45669.91877314815</v>
      </c>
      <c r="F251" s="10" t="n">
        <v>45669.92497685185</v>
      </c>
      <c r="G251" s="10" t="n">
        <v>45669.92673611111</v>
      </c>
      <c r="H251" s="3" t="inlineStr">
        <is>
          <t>OBT120125230501-Budapest</t>
        </is>
      </c>
      <c r="I251" s="10" t="n">
        <v>45669.96267361111</v>
      </c>
      <c r="J251" s="10" t="n">
        <v>45670.01545138889</v>
      </c>
      <c r="K251" s="10" t="n">
        <v>45670.01545138889</v>
      </c>
      <c r="L251" s="10" t="n">
        <v>45670.01657407408</v>
      </c>
      <c r="M251" s="11">
        <f>IF(AND(ISNUMBER(E251),ISNUMBER(G251)),(G251-E251),"")</f>
        <v/>
      </c>
      <c r="N251" s="11">
        <f>IF(AND(ISNUMBER(G251),ISNUMBER(L251)),(L251-G251),"")</f>
        <v/>
      </c>
      <c r="O251" s="10" t="n">
        <v>45669.96181712963</v>
      </c>
      <c r="P251" s="11">
        <f>IF(AND(ISNUMBER(I251),ISNUMBER(O251)),(I251-O251),"")</f>
        <v/>
      </c>
      <c r="Q251" s="12" t="inlineStr">
        <is>
          <t>WG 1207705 (already coupled to WG 1207701, WG 1207702, WG 1207703, WG 1207704 from the inbound train) entered track and got coupled to WG 1207601, OBTP started on 23:06:15 finished on 00:22:15 and then left at 00:23:52</t>
        </is>
      </c>
    </row>
  </sheetData>
  <autoFilter ref="A1:Q2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  <col width="8.199999999999999" customWidth="1" min="15" max="15"/>
  </cols>
  <sheetData>
    <row r="1" ht="45" customHeight="1">
      <c r="A1" s="1" t="inlineStr">
        <is>
          <t>ID</t>
        </is>
      </c>
      <c r="B1" s="1" t="inlineStr">
        <is>
          <t>Destination</t>
        </is>
      </c>
      <c r="C1" s="1" t="inlineStr">
        <is>
          <t>Length (m)</t>
        </is>
      </c>
      <c r="D1" s="1" t="inlineStr">
        <is>
          <t>Track</t>
        </is>
      </c>
      <c r="E1" s="1" t="inlineStr">
        <is>
          <t>OBTP init</t>
        </is>
      </c>
      <c r="F1" s="1" t="inlineStr">
        <is>
          <t>OBTP starts</t>
        </is>
      </c>
      <c r="G1" s="1" t="inlineStr">
        <is>
          <t>OBTP ends</t>
        </is>
      </c>
      <c r="H1" s="1" t="inlineStr">
        <is>
          <t>Departure drive init</t>
        </is>
      </c>
      <c r="I1" s="1" t="inlineStr">
        <is>
          <t>Departure drive starts</t>
        </is>
      </c>
      <c r="J1" s="1" t="inlineStr">
        <is>
          <t>Departure drive ends</t>
        </is>
      </c>
      <c r="K1" s="1" t="inlineStr">
        <is>
          <t>OBTP wait (hh:mm:ss)</t>
        </is>
      </c>
      <c r="L1" s="1" t="inlineStr">
        <is>
          <t>OBTP duration (hh:mm:ss)</t>
        </is>
      </c>
      <c r="M1" s="1" t="inlineStr">
        <is>
          <t>DEPD gate wait (hh:mm:ss)</t>
        </is>
      </c>
      <c r="N1" s="1" t="inlineStr">
        <is>
          <t>DEPD duration (hh:mm:ss)</t>
        </is>
      </c>
      <c r="O1" s="1" t="inlineStr">
        <is>
          <t>Total on classification track (hh:mm:ss)</t>
        </is>
      </c>
    </row>
    <row r="2">
      <c r="A2" s="3" t="inlineStr">
        <is>
          <t>OBT060125052942-Ljubljana</t>
        </is>
      </c>
      <c r="B2" s="3" t="inlineStr">
        <is>
          <t>Ljubljana</t>
        </is>
      </c>
      <c r="C2" s="9" t="n">
        <v>112</v>
      </c>
      <c r="D2" s="3" t="inlineStr">
        <is>
          <t>615</t>
        </is>
      </c>
      <c r="E2" s="10" t="n">
        <v>45663.22895833333</v>
      </c>
      <c r="F2" s="10" t="n">
        <v>45663.23068287037</v>
      </c>
      <c r="G2" s="10" t="n">
        <v>45663.25012731482</v>
      </c>
      <c r="H2" s="10" t="n">
        <v>45663.25012731482</v>
      </c>
      <c r="I2" s="10" t="n">
        <v>45663.25012731482</v>
      </c>
      <c r="J2" s="10" t="n">
        <v>45663.25084490741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IF(AND(ISNUMBER(I2),ISNUMBER(J2)),(J2-I2),"")</f>
        <v/>
      </c>
      <c r="O2" s="11">
        <f>IF(AND(ISNUMBER(E2),ISNUMBER(J2)),(J2-E2),"")</f>
        <v/>
      </c>
    </row>
    <row r="3">
      <c r="A3" s="3" t="inlineStr">
        <is>
          <t>OBT060125053957-Graz</t>
        </is>
      </c>
      <c r="B3" s="3" t="inlineStr">
        <is>
          <t>Graz</t>
        </is>
      </c>
      <c r="C3" s="9" t="n">
        <v>112</v>
      </c>
      <c r="D3" s="3" t="inlineStr">
        <is>
          <t>627</t>
        </is>
      </c>
      <c r="E3" s="10" t="n">
        <v>45663.23607638889</v>
      </c>
      <c r="F3" s="10" t="n">
        <v>45663.23690972223</v>
      </c>
      <c r="G3" s="10" t="n">
        <v>45663.25635416667</v>
      </c>
      <c r="H3" s="10" t="n">
        <v>45663.25635416667</v>
      </c>
      <c r="I3" s="10" t="n">
        <v>45663.25635416667</v>
      </c>
      <c r="J3" s="10" t="n">
        <v>45663.25700231481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IF(AND(ISNUMBER(I3),ISNUMBER(J3)),(J3-I3),"")</f>
        <v/>
      </c>
      <c r="O3" s="11">
        <f>IF(AND(ISNUMBER(E3),ISNUMBER(J3)),(J3-E3),"")</f>
        <v/>
      </c>
    </row>
    <row r="4">
      <c r="A4" s="3" t="inlineStr">
        <is>
          <t>OBT060125080833-Innsbruck</t>
        </is>
      </c>
      <c r="B4" s="3" t="inlineStr">
        <is>
          <t>Innsbruck</t>
        </is>
      </c>
      <c r="C4" s="9" t="n">
        <v>160</v>
      </c>
      <c r="D4" s="3" t="inlineStr">
        <is>
          <t>615</t>
        </is>
      </c>
      <c r="E4" s="10" t="n">
        <v>45663.33927083333</v>
      </c>
      <c r="F4" s="10" t="n">
        <v>45663.34013888889</v>
      </c>
      <c r="G4" s="10" t="n">
        <v>45663.36791666667</v>
      </c>
      <c r="H4" s="10" t="n">
        <v>45663.36791666667</v>
      </c>
      <c r="I4" s="10" t="n">
        <v>45663.36791666667</v>
      </c>
      <c r="J4" s="10" t="n">
        <v>45663.36876157407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IF(AND(ISNUMBER(I4),ISNUMBER(J4)),(J4-I4),"")</f>
        <v/>
      </c>
      <c r="O4" s="11">
        <f>IF(AND(ISNUMBER(E4),ISNUMBER(J4)),(J4-E4),"")</f>
        <v/>
      </c>
    </row>
    <row r="5">
      <c r="A5" s="3" t="inlineStr">
        <is>
          <t>OBT060125151513-Graz</t>
        </is>
      </c>
      <c r="B5" s="3" t="inlineStr">
        <is>
          <t>Graz</t>
        </is>
      </c>
      <c r="C5" s="9" t="n">
        <v>128</v>
      </c>
      <c r="D5" s="3" t="inlineStr">
        <is>
          <t>605</t>
        </is>
      </c>
      <c r="E5" s="10" t="n">
        <v>45663.63556712963</v>
      </c>
      <c r="F5" s="10" t="n">
        <v>45663.63643518519</v>
      </c>
      <c r="G5" s="10" t="n">
        <v>45663.65865740741</v>
      </c>
      <c r="H5" s="10" t="n">
        <v>45663.65865740741</v>
      </c>
      <c r="I5" s="10" t="n">
        <v>45663.65865740741</v>
      </c>
      <c r="J5" s="10" t="n">
        <v>45663.65954861111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IF(AND(ISNUMBER(I5),ISNUMBER(J5)),(J5-I5),"")</f>
        <v/>
      </c>
      <c r="O5" s="11">
        <f>IF(AND(ISNUMBER(E5),ISNUMBER(J5)),(J5-E5),"")</f>
        <v/>
      </c>
    </row>
    <row r="6">
      <c r="A6" s="3" t="inlineStr">
        <is>
          <t>OBT060125152158-Salzburg</t>
        </is>
      </c>
      <c r="B6" s="3" t="inlineStr">
        <is>
          <t>Salzburg</t>
        </is>
      </c>
      <c r="C6" s="9" t="n">
        <v>176</v>
      </c>
      <c r="D6" s="3" t="inlineStr">
        <is>
          <t>615</t>
        </is>
      </c>
      <c r="E6" s="10" t="n">
        <v>45663.64025462963</v>
      </c>
      <c r="F6" s="10" t="n">
        <v>45663.64112268519</v>
      </c>
      <c r="G6" s="10" t="n">
        <v>45663.67167824074</v>
      </c>
      <c r="H6" s="10" t="n">
        <v>45663.67167824074</v>
      </c>
      <c r="I6" s="10" t="n">
        <v>45663.67167824074</v>
      </c>
      <c r="J6" s="10" t="n">
        <v>45663.67255787037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IF(AND(ISNUMBER(I6),ISNUMBER(J6)),(J6-I6),"")</f>
        <v/>
      </c>
      <c r="O6" s="11">
        <f>IF(AND(ISNUMBER(E6),ISNUMBER(J6)),(J6-E6),"")</f>
        <v/>
      </c>
    </row>
    <row r="7">
      <c r="A7" s="3" t="inlineStr">
        <is>
          <t>OBT070125062515-Linz</t>
        </is>
      </c>
      <c r="B7" s="3" t="inlineStr">
        <is>
          <t>Linz</t>
        </is>
      </c>
      <c r="C7" s="9" t="n">
        <v>144</v>
      </c>
      <c r="D7" s="3" t="inlineStr">
        <is>
          <t>613</t>
        </is>
      </c>
      <c r="E7" s="10" t="n">
        <v>45664.26753472222</v>
      </c>
      <c r="F7" s="10" t="n">
        <v>45664.26837962963</v>
      </c>
      <c r="G7" s="10" t="n">
        <v>45664.29337962963</v>
      </c>
      <c r="H7" s="10" t="n">
        <v>45664.29337962963</v>
      </c>
      <c r="I7" s="10" t="n">
        <v>45664.29337962963</v>
      </c>
      <c r="J7" s="10" t="n">
        <v>45664.29414351852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IF(AND(ISNUMBER(I7),ISNUMBER(J7)),(J7-I7),"")</f>
        <v/>
      </c>
      <c r="O7" s="11">
        <f>IF(AND(ISNUMBER(E7),ISNUMBER(J7)),(J7-E7),"")</f>
        <v/>
      </c>
    </row>
    <row r="8">
      <c r="A8" s="3" t="inlineStr">
        <is>
          <t>OBT070125064013-Ljubljana</t>
        </is>
      </c>
      <c r="B8" s="3" t="inlineStr">
        <is>
          <t>Ljubljana</t>
        </is>
      </c>
      <c r="C8" s="9" t="n">
        <v>192</v>
      </c>
      <c r="D8" s="3" t="inlineStr">
        <is>
          <t>625</t>
        </is>
      </c>
      <c r="E8" s="10" t="n">
        <v>45664.27792824074</v>
      </c>
      <c r="F8" s="10" t="n">
        <v>45664.28612268518</v>
      </c>
      <c r="G8" s="10" t="n">
        <v>45664.31945601852</v>
      </c>
      <c r="H8" s="10" t="n">
        <v>45664.31945601852</v>
      </c>
      <c r="I8" s="10" t="n">
        <v>45664.31945601852</v>
      </c>
      <c r="J8" s="10" t="n">
        <v>45664.32040509259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IF(AND(ISNUMBER(I8),ISNUMBER(J8)),(J8-I8),"")</f>
        <v/>
      </c>
      <c r="O8" s="11">
        <f>IF(AND(ISNUMBER(E8),ISNUMBER(J8)),(J8-E8),"")</f>
        <v/>
      </c>
    </row>
    <row r="9">
      <c r="A9" s="3" t="inlineStr">
        <is>
          <t>OBT070125064725-Vienna</t>
        </is>
      </c>
      <c r="B9" s="3" t="inlineStr">
        <is>
          <t>Vienna</t>
        </is>
      </c>
      <c r="C9" s="9" t="n">
        <v>128</v>
      </c>
      <c r="D9" s="3" t="inlineStr">
        <is>
          <t>615</t>
        </is>
      </c>
      <c r="E9" s="10" t="n">
        <v>45664.28292824074</v>
      </c>
      <c r="F9" s="10" t="n">
        <v>45664.29607638889</v>
      </c>
      <c r="G9" s="10" t="n">
        <v>45664.31829861111</v>
      </c>
      <c r="H9" s="10" t="n">
        <v>45664.31829861111</v>
      </c>
      <c r="I9" s="10" t="n">
        <v>45664.31829861111</v>
      </c>
      <c r="J9" s="10" t="n">
        <v>45664.3190625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IF(AND(ISNUMBER(I9),ISNUMBER(J9)),(J9-I9),"")</f>
        <v/>
      </c>
      <c r="O9" s="11">
        <f>IF(AND(ISNUMBER(E9),ISNUMBER(J9)),(J9-E9),"")</f>
        <v/>
      </c>
    </row>
    <row r="10">
      <c r="A10" s="3" t="inlineStr">
        <is>
          <t>OBT070125065726-Vienna</t>
        </is>
      </c>
      <c r="B10" s="3" t="inlineStr">
        <is>
          <t>Vienna</t>
        </is>
      </c>
      <c r="C10" s="9" t="n">
        <v>144</v>
      </c>
      <c r="D10" s="3" t="inlineStr">
        <is>
          <t>605</t>
        </is>
      </c>
      <c r="E10" s="10" t="n">
        <v>45664.28988425926</v>
      </c>
      <c r="F10" s="10" t="n">
        <v>45664.31993055555</v>
      </c>
      <c r="G10" s="10" t="n">
        <v>45664.34493055556</v>
      </c>
      <c r="H10" s="10" t="n">
        <v>45664.34493055556</v>
      </c>
      <c r="I10" s="10" t="n">
        <v>45664.34493055556</v>
      </c>
      <c r="J10" s="10" t="n">
        <v>45664.34585648148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IF(AND(ISNUMBER(I10),ISNUMBER(J10)),(J10-I10),"")</f>
        <v/>
      </c>
      <c r="O10" s="11">
        <f>IF(AND(ISNUMBER(E10),ISNUMBER(J10)),(J10-E10),"")</f>
        <v/>
      </c>
    </row>
    <row r="11">
      <c r="A11" s="3" t="inlineStr">
        <is>
          <t>OBT070125070322-Graz</t>
        </is>
      </c>
      <c r="B11" s="3" t="inlineStr">
        <is>
          <t>Graz</t>
        </is>
      </c>
      <c r="C11" s="9" t="n">
        <v>112</v>
      </c>
      <c r="D11" s="3" t="inlineStr">
        <is>
          <t>627</t>
        </is>
      </c>
      <c r="E11" s="10" t="n">
        <v>45664.29400462963</v>
      </c>
      <c r="F11" s="10" t="n">
        <v>45664.32109953704</v>
      </c>
      <c r="G11" s="10" t="n">
        <v>45664.34054398148</v>
      </c>
      <c r="H11" s="10" t="n">
        <v>45664.34054398148</v>
      </c>
      <c r="I11" s="10" t="n">
        <v>45664.34054398148</v>
      </c>
      <c r="J11" s="10" t="n">
        <v>45664.34119212963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IF(AND(ISNUMBER(I11),ISNUMBER(J11)),(J11-I11),"")</f>
        <v/>
      </c>
      <c r="O11" s="11">
        <f>IF(AND(ISNUMBER(E11),ISNUMBER(J11)),(J11-E11),"")</f>
        <v/>
      </c>
    </row>
    <row r="12">
      <c r="A12" s="3" t="inlineStr">
        <is>
          <t>OBT070125073416-Graz</t>
        </is>
      </c>
      <c r="B12" s="3" t="inlineStr">
        <is>
          <t>Graz</t>
        </is>
      </c>
      <c r="C12" s="9" t="n">
        <v>144</v>
      </c>
      <c r="D12" s="3" t="inlineStr">
        <is>
          <t>606</t>
        </is>
      </c>
      <c r="E12" s="10" t="n">
        <v>45664.31546296296</v>
      </c>
      <c r="F12" s="10" t="n">
        <v>45664.32537037037</v>
      </c>
      <c r="G12" s="10" t="n">
        <v>45664.35037037037</v>
      </c>
      <c r="H12" s="10" t="n">
        <v>45664.35037037037</v>
      </c>
      <c r="I12" s="10" t="n">
        <v>45664.35037037037</v>
      </c>
      <c r="J12" s="10" t="n">
        <v>45664.35121527778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IF(AND(ISNUMBER(I12),ISNUMBER(J12)),(J12-I12),"")</f>
        <v/>
      </c>
      <c r="O12" s="11">
        <f>IF(AND(ISNUMBER(E12),ISNUMBER(J12)),(J12-E12),"")</f>
        <v/>
      </c>
    </row>
    <row r="13">
      <c r="A13" s="3" t="inlineStr">
        <is>
          <t>OBT070125074604-Salzburg</t>
        </is>
      </c>
      <c r="B13" s="3" t="inlineStr">
        <is>
          <t>Salzburg</t>
        </is>
      </c>
      <c r="C13" s="9" t="n">
        <v>144</v>
      </c>
      <c r="D13" s="3" t="inlineStr">
        <is>
          <t>623</t>
        </is>
      </c>
      <c r="E13" s="10" t="n">
        <v>45664.32365740741</v>
      </c>
      <c r="F13" s="10" t="n">
        <v>45664.34228009259</v>
      </c>
      <c r="G13" s="10" t="n">
        <v>45664.36728009259</v>
      </c>
      <c r="H13" s="10" t="n">
        <v>45664.36728009259</v>
      </c>
      <c r="I13" s="10" t="n">
        <v>45664.36728009259</v>
      </c>
      <c r="J13" s="10" t="n">
        <v>45664.36814814815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IF(AND(ISNUMBER(I13),ISNUMBER(J13)),(J13-I13),"")</f>
        <v/>
      </c>
      <c r="O13" s="11">
        <f>IF(AND(ISNUMBER(E13),ISNUMBER(J13)),(J13-E13),"")</f>
        <v/>
      </c>
    </row>
    <row r="14">
      <c r="A14" s="3" t="inlineStr">
        <is>
          <t>OBT070125133255-Linz</t>
        </is>
      </c>
      <c r="B14" s="3" t="inlineStr">
        <is>
          <t>Linz</t>
        </is>
      </c>
      <c r="C14" s="9" t="n">
        <v>128</v>
      </c>
      <c r="D14" s="3" t="inlineStr">
        <is>
          <t>615</t>
        </is>
      </c>
      <c r="E14" s="10" t="n">
        <v>45664.56452546296</v>
      </c>
      <c r="F14" s="10" t="n">
        <v>45664.56537037037</v>
      </c>
      <c r="G14" s="10" t="n">
        <v>45664.58759259259</v>
      </c>
      <c r="H14" s="10" t="n">
        <v>45664.58759259259</v>
      </c>
      <c r="I14" s="10" t="n">
        <v>45664.58759259259</v>
      </c>
      <c r="J14" s="10" t="n">
        <v>45664.58835648148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IF(AND(ISNUMBER(I14),ISNUMBER(J14)),(J14-I14),"")</f>
        <v/>
      </c>
      <c r="O14" s="11">
        <f>IF(AND(ISNUMBER(E14),ISNUMBER(J14)),(J14-E14),"")</f>
        <v/>
      </c>
    </row>
    <row r="15">
      <c r="A15" s="3" t="inlineStr">
        <is>
          <t>OBT070125170022-Vienna</t>
        </is>
      </c>
      <c r="B15" s="3" t="inlineStr">
        <is>
          <t>Vienna</t>
        </is>
      </c>
      <c r="C15" s="9" t="n">
        <v>176</v>
      </c>
      <c r="D15" s="3" t="inlineStr">
        <is>
          <t>619</t>
        </is>
      </c>
      <c r="E15" s="10" t="n">
        <v>45664.70858796296</v>
      </c>
      <c r="F15" s="10" t="n">
        <v>45664.70945601852</v>
      </c>
      <c r="G15" s="10" t="n">
        <v>45664.74001157407</v>
      </c>
      <c r="H15" s="10" t="n">
        <v>45664.74001157407</v>
      </c>
      <c r="I15" s="10" t="n">
        <v>45664.74001157407</v>
      </c>
      <c r="J15" s="10" t="n">
        <v>45664.74097222222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IF(AND(ISNUMBER(I15),ISNUMBER(J15)),(J15-I15),"")</f>
        <v/>
      </c>
      <c r="O15" s="11">
        <f>IF(AND(ISNUMBER(E15),ISNUMBER(J15)),(J15-E15),"")</f>
        <v/>
      </c>
    </row>
    <row r="16">
      <c r="A16" s="3" t="inlineStr">
        <is>
          <t>OBT080125061351-Vienna</t>
        </is>
      </c>
      <c r="B16" s="3" t="inlineStr">
        <is>
          <t>Vienna</t>
        </is>
      </c>
      <c r="C16" s="9" t="n">
        <v>128</v>
      </c>
      <c r="D16" s="3" t="inlineStr">
        <is>
          <t>613</t>
        </is>
      </c>
      <c r="E16" s="10" t="n">
        <v>45665.25961805556</v>
      </c>
      <c r="F16" s="10" t="n">
        <v>45665.26048611111</v>
      </c>
      <c r="G16" s="10" t="n">
        <v>45665.28270833333</v>
      </c>
      <c r="H16" s="10" t="n">
        <v>45665.28270833333</v>
      </c>
      <c r="I16" s="10" t="n">
        <v>45665.28270833333</v>
      </c>
      <c r="J16" s="10" t="n">
        <v>45665.2834375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IF(AND(ISNUMBER(I16),ISNUMBER(J16)),(J16-I16),"")</f>
        <v/>
      </c>
      <c r="O16" s="11">
        <f>IF(AND(ISNUMBER(E16),ISNUMBER(J16)),(J16-E16),"")</f>
        <v/>
      </c>
    </row>
    <row r="17">
      <c r="A17" s="3" t="inlineStr">
        <is>
          <t>OBT080125061853-Salzburg</t>
        </is>
      </c>
      <c r="B17" s="3" t="inlineStr">
        <is>
          <t>Salzburg</t>
        </is>
      </c>
      <c r="C17" s="9" t="n">
        <v>128</v>
      </c>
      <c r="D17" s="3" t="inlineStr">
        <is>
          <t>615</t>
        </is>
      </c>
      <c r="E17" s="10" t="n">
        <v>45665.26311342593</v>
      </c>
      <c r="F17" s="10" t="n">
        <v>45665.26398148148</v>
      </c>
      <c r="G17" s="10" t="n">
        <v>45665.2862037037</v>
      </c>
      <c r="H17" s="10" t="n">
        <v>45665.2862037037</v>
      </c>
      <c r="I17" s="10" t="n">
        <v>45665.2862037037</v>
      </c>
      <c r="J17" s="10" t="n">
        <v>45665.28695601852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IF(AND(ISNUMBER(I17),ISNUMBER(J17)),(J17-I17),"")</f>
        <v/>
      </c>
      <c r="O17" s="11">
        <f>IF(AND(ISNUMBER(E17),ISNUMBER(J17)),(J17-E17),"")</f>
        <v/>
      </c>
    </row>
    <row r="18">
      <c r="A18" s="3" t="inlineStr">
        <is>
          <t>OBT080125094940-Budapest</t>
        </is>
      </c>
      <c r="B18" s="3" t="inlineStr">
        <is>
          <t>Budapest</t>
        </is>
      </c>
      <c r="C18" s="9" t="n">
        <v>176</v>
      </c>
      <c r="D18" s="3" t="inlineStr">
        <is>
          <t>625</t>
        </is>
      </c>
      <c r="E18" s="10" t="n">
        <v>45665.40949074074</v>
      </c>
      <c r="F18" s="10" t="n">
        <v>45665.4103587963</v>
      </c>
      <c r="G18" s="10" t="n">
        <v>45665.44091435185</v>
      </c>
      <c r="H18" s="10" t="n">
        <v>45665.44091435185</v>
      </c>
      <c r="I18" s="10" t="n">
        <v>45665.44091435185</v>
      </c>
      <c r="J18" s="10" t="n">
        <v>45665.44181712963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IF(AND(ISNUMBER(I18),ISNUMBER(J18)),(J18-I18),"")</f>
        <v/>
      </c>
      <c r="O18" s="11">
        <f>IF(AND(ISNUMBER(E18),ISNUMBER(J18)),(J18-E18),"")</f>
        <v/>
      </c>
    </row>
    <row r="19">
      <c r="A19" s="3" t="inlineStr">
        <is>
          <t>OBT080125095423-Graz</t>
        </is>
      </c>
      <c r="B19" s="3" t="inlineStr">
        <is>
          <t>Graz</t>
        </is>
      </c>
      <c r="C19" s="9" t="n">
        <v>240</v>
      </c>
      <c r="D19" s="3" t="inlineStr">
        <is>
          <t>605</t>
        </is>
      </c>
      <c r="E19" s="10" t="n">
        <v>45665.41276620371</v>
      </c>
      <c r="F19" s="10" t="n">
        <v>45665.41447916667</v>
      </c>
      <c r="G19" s="10" t="n">
        <v>45665.45614583333</v>
      </c>
      <c r="H19" s="10" t="n">
        <v>45665.45614583333</v>
      </c>
      <c r="I19" s="10" t="n">
        <v>45665.45614583333</v>
      </c>
      <c r="J19" s="10" t="n">
        <v>45665.45729166667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IF(AND(ISNUMBER(I19),ISNUMBER(J19)),(J19-I19),"")</f>
        <v/>
      </c>
      <c r="O19" s="11">
        <f>IF(AND(ISNUMBER(E19),ISNUMBER(J19)),(J19-E19),"")</f>
        <v/>
      </c>
    </row>
    <row r="20">
      <c r="A20" s="3" t="inlineStr">
        <is>
          <t>OBT080125101213-Vienna</t>
        </is>
      </c>
      <c r="B20" s="3" t="inlineStr">
        <is>
          <t>Vienna</t>
        </is>
      </c>
      <c r="C20" s="9" t="n">
        <v>160</v>
      </c>
      <c r="D20" s="3" t="inlineStr">
        <is>
          <t>623</t>
        </is>
      </c>
      <c r="E20" s="10" t="n">
        <v>45665.42515046296</v>
      </c>
      <c r="F20" s="10" t="n">
        <v>45665.42962962963</v>
      </c>
      <c r="G20" s="10" t="n">
        <v>45665.4574074074</v>
      </c>
      <c r="H20" s="10" t="n">
        <v>45665.4574074074</v>
      </c>
      <c r="I20" s="10" t="n">
        <v>45665.4574074074</v>
      </c>
      <c r="J20" s="10" t="n">
        <v>45665.45832175926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IF(AND(ISNUMBER(I20),ISNUMBER(J20)),(J20-I20),"")</f>
        <v/>
      </c>
      <c r="O20" s="11">
        <f>IF(AND(ISNUMBER(E20),ISNUMBER(J20)),(J20-E20),"")</f>
        <v/>
      </c>
    </row>
    <row r="21">
      <c r="A21" s="3" t="inlineStr">
        <is>
          <t>OBT080125101621-Graz</t>
        </is>
      </c>
      <c r="B21" s="3" t="inlineStr">
        <is>
          <t>Graz</t>
        </is>
      </c>
      <c r="C21" s="9" t="n">
        <v>160</v>
      </c>
      <c r="D21" s="3" t="inlineStr">
        <is>
          <t>619</t>
        </is>
      </c>
      <c r="E21" s="10" t="n">
        <v>45665.42802083334</v>
      </c>
      <c r="F21" s="10" t="n">
        <v>45665.4578587963</v>
      </c>
      <c r="G21" s="10" t="n">
        <v>45665.48563657407</v>
      </c>
      <c r="H21" s="10" t="n">
        <v>45665.48563657407</v>
      </c>
      <c r="I21" s="10" t="n">
        <v>45665.48563657407</v>
      </c>
      <c r="J21" s="10" t="n">
        <v>45665.48655092593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IF(AND(ISNUMBER(I21),ISNUMBER(J21)),(J21-I21),"")</f>
        <v/>
      </c>
      <c r="O21" s="11">
        <f>IF(AND(ISNUMBER(E21),ISNUMBER(J21)),(J21-E21),"")</f>
        <v/>
      </c>
    </row>
    <row r="22">
      <c r="A22" s="3" t="inlineStr">
        <is>
          <t>OBT080125111223-Budapest</t>
        </is>
      </c>
      <c r="B22" s="3" t="inlineStr">
        <is>
          <t>Budapest</t>
        </is>
      </c>
      <c r="C22" s="9" t="n">
        <v>208</v>
      </c>
      <c r="D22" s="3" t="inlineStr">
        <is>
          <t>613</t>
        </is>
      </c>
      <c r="E22" s="10" t="n">
        <v>45665.46693287037</v>
      </c>
      <c r="F22" s="10" t="n">
        <v>45665.46776620371</v>
      </c>
      <c r="G22" s="10" t="n">
        <v>45665.50387731481</v>
      </c>
      <c r="H22" s="10" t="n">
        <v>45665.50387731481</v>
      </c>
      <c r="I22" s="10" t="n">
        <v>45665.50387731481</v>
      </c>
      <c r="J22" s="10" t="n">
        <v>45665.50479166667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IF(AND(ISNUMBER(I22),ISNUMBER(J22)),(J22-I22),"")</f>
        <v/>
      </c>
      <c r="O22" s="11">
        <f>IF(AND(ISNUMBER(E22),ISNUMBER(J22)),(J22-E22),"")</f>
        <v/>
      </c>
    </row>
    <row r="23">
      <c r="A23" s="3" t="inlineStr">
        <is>
          <t>OBT080125144107-Salzburg</t>
        </is>
      </c>
      <c r="B23" s="3" t="inlineStr">
        <is>
          <t>Salzburg</t>
        </is>
      </c>
      <c r="C23" s="9" t="n">
        <v>128</v>
      </c>
      <c r="D23" s="3" t="inlineStr">
        <is>
          <t>606</t>
        </is>
      </c>
      <c r="E23" s="10" t="n">
        <v>45665.61188657407</v>
      </c>
      <c r="F23" s="10" t="n">
        <v>45665.61273148148</v>
      </c>
      <c r="G23" s="10" t="n">
        <v>45665.6349537037</v>
      </c>
      <c r="H23" s="10" t="n">
        <v>45665.6349537037</v>
      </c>
      <c r="I23" s="10" t="n">
        <v>45665.6349537037</v>
      </c>
      <c r="J23" s="10" t="n">
        <v>45665.63575231482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IF(AND(ISNUMBER(I23),ISNUMBER(J23)),(J23-I23),"")</f>
        <v/>
      </c>
      <c r="O23" s="11">
        <f>IF(AND(ISNUMBER(E23),ISNUMBER(J23)),(J23-E23),"")</f>
        <v/>
      </c>
    </row>
    <row r="24">
      <c r="A24" s="3" t="inlineStr">
        <is>
          <t>OBT080125145710-Innsbruck</t>
        </is>
      </c>
      <c r="B24" s="3" t="inlineStr">
        <is>
          <t>Innsbruck</t>
        </is>
      </c>
      <c r="C24" s="9" t="n">
        <v>144</v>
      </c>
      <c r="D24" s="3" t="inlineStr">
        <is>
          <t>615</t>
        </is>
      </c>
      <c r="E24" s="10" t="n">
        <v>45665.62303240741</v>
      </c>
      <c r="F24" s="10" t="n">
        <v>45665.62390046296</v>
      </c>
      <c r="G24" s="10" t="n">
        <v>45665.64890046296</v>
      </c>
      <c r="H24" s="10" t="n">
        <v>45665.64890046296</v>
      </c>
      <c r="I24" s="10" t="n">
        <v>45665.64890046296</v>
      </c>
      <c r="J24" s="10" t="n">
        <v>45665.64969907407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IF(AND(ISNUMBER(I24),ISNUMBER(J24)),(J24-I24),"")</f>
        <v/>
      </c>
      <c r="O24" s="11">
        <f>IF(AND(ISNUMBER(E24),ISNUMBER(J24)),(J24-E24),"")</f>
        <v/>
      </c>
    </row>
    <row r="25">
      <c r="A25" s="3" t="inlineStr">
        <is>
          <t>OBT080125183013-Graz</t>
        </is>
      </c>
      <c r="B25" s="3" t="inlineStr">
        <is>
          <t>Graz</t>
        </is>
      </c>
      <c r="C25" s="9" t="n">
        <v>112</v>
      </c>
      <c r="D25" s="3" t="inlineStr">
        <is>
          <t>615</t>
        </is>
      </c>
      <c r="E25" s="10" t="n">
        <v>45665.7709837963</v>
      </c>
      <c r="F25" s="10" t="n">
        <v>45665.77182870371</v>
      </c>
      <c r="G25" s="10" t="n">
        <v>45665.79127314815</v>
      </c>
      <c r="H25" s="10" t="n">
        <v>45665.79127314815</v>
      </c>
      <c r="I25" s="10" t="n">
        <v>45665.79127314815</v>
      </c>
      <c r="J25" s="10" t="n">
        <v>45665.79200231482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IF(AND(ISNUMBER(I25),ISNUMBER(J25)),(J25-I25),"")</f>
        <v/>
      </c>
      <c r="O25" s="11">
        <f>IF(AND(ISNUMBER(E25),ISNUMBER(J25)),(J25-E25),"")</f>
        <v/>
      </c>
    </row>
    <row r="26">
      <c r="A26" s="3" t="inlineStr">
        <is>
          <t>OBT080125222429-Budapest</t>
        </is>
      </c>
      <c r="B26" s="3" t="inlineStr">
        <is>
          <t>Budapest</t>
        </is>
      </c>
      <c r="C26" s="9" t="n">
        <v>256</v>
      </c>
      <c r="D26" s="3" t="inlineStr">
        <is>
          <t>615</t>
        </is>
      </c>
      <c r="E26" s="10" t="n">
        <v>45665.93366898148</v>
      </c>
      <c r="F26" s="10" t="n">
        <v>45665.93450231481</v>
      </c>
      <c r="G26" s="10" t="n">
        <v>45665.97894675926</v>
      </c>
      <c r="H26" s="10" t="n">
        <v>45665.97894675926</v>
      </c>
      <c r="I26" s="10" t="n">
        <v>45665.97894675926</v>
      </c>
      <c r="J26" s="10" t="n">
        <v>45665.98001157407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IF(AND(ISNUMBER(I26),ISNUMBER(J26)),(J26-I26),"")</f>
        <v/>
      </c>
      <c r="O26" s="11">
        <f>IF(AND(ISNUMBER(E26),ISNUMBER(J26)),(J26-E26),"")</f>
        <v/>
      </c>
    </row>
    <row r="27">
      <c r="A27" s="3" t="inlineStr">
        <is>
          <t>OBT090125054651-Salzburg</t>
        </is>
      </c>
      <c r="B27" s="3" t="inlineStr">
        <is>
          <t>Salzburg</t>
        </is>
      </c>
      <c r="C27" s="9" t="n">
        <v>144</v>
      </c>
      <c r="D27" s="3" t="inlineStr">
        <is>
          <t>615</t>
        </is>
      </c>
      <c r="E27" s="10" t="n">
        <v>45666.24086805555</v>
      </c>
      <c r="F27" s="10" t="n">
        <v>45666.24256944445</v>
      </c>
      <c r="G27" s="10" t="n">
        <v>45666.26756944445</v>
      </c>
      <c r="H27" s="10" t="n">
        <v>45666.26756944445</v>
      </c>
      <c r="I27" s="10" t="n">
        <v>45666.26756944445</v>
      </c>
      <c r="J27" s="10" t="n">
        <v>45666.26836805556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IF(AND(ISNUMBER(I27),ISNUMBER(J27)),(J27-I27),"")</f>
        <v/>
      </c>
      <c r="O27" s="11">
        <f>IF(AND(ISNUMBER(E27),ISNUMBER(J27)),(J27-E27),"")</f>
        <v/>
      </c>
    </row>
    <row r="28">
      <c r="A28" s="3" t="inlineStr">
        <is>
          <t>OBT090125055020-Vienna</t>
        </is>
      </c>
      <c r="B28" s="3" t="inlineStr">
        <is>
          <t>Vienna</t>
        </is>
      </c>
      <c r="C28" s="9" t="n">
        <v>176</v>
      </c>
      <c r="D28" s="3" t="inlineStr">
        <is>
          <t>625</t>
        </is>
      </c>
      <c r="E28" s="10" t="n">
        <v>45666.24328703704</v>
      </c>
      <c r="F28" s="10" t="n">
        <v>45666.24574074074</v>
      </c>
      <c r="G28" s="10" t="n">
        <v>45666.2762962963</v>
      </c>
      <c r="H28" s="10" t="n">
        <v>45666.2762962963</v>
      </c>
      <c r="I28" s="10" t="n">
        <v>45666.2762962963</v>
      </c>
      <c r="J28" s="10" t="n">
        <v>45666.27719907407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IF(AND(ISNUMBER(I28),ISNUMBER(J28)),(J28-I28),"")</f>
        <v/>
      </c>
      <c r="O28" s="11">
        <f>IF(AND(ISNUMBER(E28),ISNUMBER(J28)),(J28-E28),"")</f>
        <v/>
      </c>
    </row>
    <row r="29">
      <c r="A29" s="3" t="inlineStr">
        <is>
          <t>OBT090125062427-Graz</t>
        </is>
      </c>
      <c r="B29" s="3" t="inlineStr">
        <is>
          <t>Graz</t>
        </is>
      </c>
      <c r="C29" s="9" t="n">
        <v>224</v>
      </c>
      <c r="D29" s="3" t="inlineStr">
        <is>
          <t>605</t>
        </is>
      </c>
      <c r="E29" s="10" t="n">
        <v>45666.26697916666</v>
      </c>
      <c r="F29" s="10" t="n">
        <v>45666.27815972222</v>
      </c>
      <c r="G29" s="10" t="n">
        <v>45666.31704861111</v>
      </c>
      <c r="H29" s="10" t="n">
        <v>45666.31704861111</v>
      </c>
      <c r="I29" s="10" t="n">
        <v>45666.31704861111</v>
      </c>
      <c r="J29" s="10" t="n">
        <v>45666.3181712963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IF(AND(ISNUMBER(I29),ISNUMBER(J29)),(J29-I29),"")</f>
        <v/>
      </c>
      <c r="O29" s="11">
        <f>IF(AND(ISNUMBER(E29),ISNUMBER(J29)),(J29-E29),"")</f>
        <v/>
      </c>
    </row>
    <row r="30">
      <c r="A30" s="3" t="inlineStr">
        <is>
          <t>OBT090125062930-Linz</t>
        </is>
      </c>
      <c r="B30" s="3" t="inlineStr">
        <is>
          <t>Linz</t>
        </is>
      </c>
      <c r="C30" s="9" t="n">
        <v>240</v>
      </c>
      <c r="D30" s="3" t="inlineStr">
        <is>
          <t>613</t>
        </is>
      </c>
      <c r="E30" s="10" t="n">
        <v>45666.27048611111</v>
      </c>
      <c r="F30" s="10" t="n">
        <v>45666.28016203704</v>
      </c>
      <c r="G30" s="10" t="n">
        <v>45666.3218287037</v>
      </c>
      <c r="H30" s="10" t="n">
        <v>45666.3218287037</v>
      </c>
      <c r="I30" s="10" t="n">
        <v>45666.3218287037</v>
      </c>
      <c r="J30" s="10" t="n">
        <v>45666.3228125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IF(AND(ISNUMBER(I30),ISNUMBER(J30)),(J30-I30),"")</f>
        <v/>
      </c>
      <c r="O30" s="11">
        <f>IF(AND(ISNUMBER(E30),ISNUMBER(J30)),(J30-E30),"")</f>
        <v/>
      </c>
    </row>
    <row r="31">
      <c r="A31" s="3" t="inlineStr">
        <is>
          <t>OBT090125064941-Vienna</t>
        </is>
      </c>
      <c r="B31" s="3" t="inlineStr">
        <is>
          <t>Vienna</t>
        </is>
      </c>
      <c r="C31" s="9" t="n">
        <v>128</v>
      </c>
      <c r="D31" s="3" t="inlineStr">
        <is>
          <t>607</t>
        </is>
      </c>
      <c r="E31" s="10" t="n">
        <v>45666.28450231482</v>
      </c>
      <c r="F31" s="10" t="n">
        <v>45666.28721064814</v>
      </c>
      <c r="G31" s="10" t="n">
        <v>45666.30943287037</v>
      </c>
      <c r="H31" s="10" t="n">
        <v>45666.30943287037</v>
      </c>
      <c r="I31" s="10" t="n">
        <v>45666.30943287037</v>
      </c>
      <c r="J31" s="10" t="n">
        <v>45666.31032407407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IF(AND(ISNUMBER(I31),ISNUMBER(J31)),(J31-I31),"")</f>
        <v/>
      </c>
      <c r="O31" s="11">
        <f>IF(AND(ISNUMBER(E31),ISNUMBER(J31)),(J31-E31),"")</f>
        <v/>
      </c>
    </row>
    <row r="32">
      <c r="A32" s="3" t="inlineStr">
        <is>
          <t>OBT090125065110-Vienna</t>
        </is>
      </c>
      <c r="B32" s="3" t="inlineStr">
        <is>
          <t>Vienna</t>
        </is>
      </c>
      <c r="C32" s="9" t="n">
        <v>160</v>
      </c>
      <c r="D32" s="3" t="inlineStr">
        <is>
          <t>623</t>
        </is>
      </c>
      <c r="E32" s="10" t="n">
        <v>45666.2855324074</v>
      </c>
      <c r="F32" s="10" t="n">
        <v>45666.31111111111</v>
      </c>
      <c r="G32" s="10" t="n">
        <v>45666.33888888889</v>
      </c>
      <c r="H32" s="10" t="n">
        <v>45666.33888888889</v>
      </c>
      <c r="I32" s="10" t="n">
        <v>45666.33888888889</v>
      </c>
      <c r="J32" s="10" t="n">
        <v>45666.33979166667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IF(AND(ISNUMBER(I32),ISNUMBER(J32)),(J32-I32),"")</f>
        <v/>
      </c>
      <c r="O32" s="11">
        <f>IF(AND(ISNUMBER(E32),ISNUMBER(J32)),(J32-E32),"")</f>
        <v/>
      </c>
    </row>
    <row r="33">
      <c r="A33" s="3" t="inlineStr">
        <is>
          <t>OBT090125113246-Budapest</t>
        </is>
      </c>
      <c r="B33" s="3" t="inlineStr">
        <is>
          <t>Budapest</t>
        </is>
      </c>
      <c r="C33" s="9" t="n">
        <v>128</v>
      </c>
      <c r="D33" s="3" t="inlineStr">
        <is>
          <t>615</t>
        </is>
      </c>
      <c r="E33" s="10" t="n">
        <v>45666.48108796297</v>
      </c>
      <c r="F33" s="10" t="n">
        <v>45666.48195601852</v>
      </c>
      <c r="G33" s="10" t="n">
        <v>45666.50417824074</v>
      </c>
      <c r="H33" s="10" t="n">
        <v>45666.50417824074</v>
      </c>
      <c r="I33" s="10" t="n">
        <v>45666.50417824074</v>
      </c>
      <c r="J33" s="10" t="n">
        <v>45666.50494212963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IF(AND(ISNUMBER(I33),ISNUMBER(J33)),(J33-I33),"")</f>
        <v/>
      </c>
      <c r="O33" s="11">
        <f>IF(AND(ISNUMBER(E33),ISNUMBER(J33)),(J33-E33),"")</f>
        <v/>
      </c>
    </row>
    <row r="34">
      <c r="A34" s="3" t="inlineStr">
        <is>
          <t>OBT090125114855-Salzburg</t>
        </is>
      </c>
      <c r="B34" s="3" t="inlineStr">
        <is>
          <t>Salzburg</t>
        </is>
      </c>
      <c r="C34" s="9" t="n">
        <v>208</v>
      </c>
      <c r="D34" s="3" t="inlineStr">
        <is>
          <t>613</t>
        </is>
      </c>
      <c r="E34" s="10" t="n">
        <v>45666.49230324074</v>
      </c>
      <c r="F34" s="10" t="n">
        <v>45666.49313657408</v>
      </c>
      <c r="G34" s="10" t="n">
        <v>45666.52924768518</v>
      </c>
      <c r="H34" s="10" t="n">
        <v>45666.52924768518</v>
      </c>
      <c r="I34" s="10" t="n">
        <v>45666.52924768518</v>
      </c>
      <c r="J34" s="10" t="n">
        <v>45666.53016203704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IF(AND(ISNUMBER(I34),ISNUMBER(J34)),(J34-I34),"")</f>
        <v/>
      </c>
      <c r="O34" s="11">
        <f>IF(AND(ISNUMBER(E34),ISNUMBER(J34)),(J34-E34),"")</f>
        <v/>
      </c>
    </row>
    <row r="35">
      <c r="A35" s="3" t="inlineStr">
        <is>
          <t>OBT090125133851-Graz</t>
        </is>
      </c>
      <c r="B35" s="3" t="inlineStr">
        <is>
          <t>Graz</t>
        </is>
      </c>
      <c r="C35" s="9" t="n">
        <v>144</v>
      </c>
      <c r="D35" s="3" t="inlineStr">
        <is>
          <t>619</t>
        </is>
      </c>
      <c r="E35" s="10" t="n">
        <v>45666.56864583334</v>
      </c>
      <c r="F35" s="10" t="n">
        <v>45666.56949074074</v>
      </c>
      <c r="G35" s="10" t="n">
        <v>45666.59449074074</v>
      </c>
      <c r="H35" s="10" t="n">
        <v>45666.59449074074</v>
      </c>
      <c r="I35" s="10" t="n">
        <v>45666.59449074074</v>
      </c>
      <c r="J35" s="10" t="n">
        <v>45666.59537037037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IF(AND(ISNUMBER(I35),ISNUMBER(J35)),(J35-I35),"")</f>
        <v/>
      </c>
      <c r="O35" s="11">
        <f>IF(AND(ISNUMBER(E35),ISNUMBER(J35)),(J35-E35),"")</f>
        <v/>
      </c>
    </row>
    <row r="36">
      <c r="A36" s="3" t="inlineStr">
        <is>
          <t>OBT090125134430-Vienna</t>
        </is>
      </c>
      <c r="B36" s="3" t="inlineStr">
        <is>
          <t>Vienna</t>
        </is>
      </c>
      <c r="C36" s="9" t="n">
        <v>176</v>
      </c>
      <c r="D36" s="3" t="inlineStr">
        <is>
          <t>615</t>
        </is>
      </c>
      <c r="E36" s="10" t="n">
        <v>45666.57256944444</v>
      </c>
      <c r="F36" s="10" t="n">
        <v>45666.57422453703</v>
      </c>
      <c r="G36" s="10" t="n">
        <v>45666.6047800926</v>
      </c>
      <c r="H36" s="10" t="n">
        <v>45666.6047800926</v>
      </c>
      <c r="I36" s="10" t="n">
        <v>45666.6047800926</v>
      </c>
      <c r="J36" s="10" t="n">
        <v>45666.60565972222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IF(AND(ISNUMBER(I36),ISNUMBER(J36)),(J36-I36),"")</f>
        <v/>
      </c>
      <c r="O36" s="11">
        <f>IF(AND(ISNUMBER(E36),ISNUMBER(J36)),(J36-E36),"")</f>
        <v/>
      </c>
    </row>
    <row r="37">
      <c r="A37" s="3" t="inlineStr">
        <is>
          <t>OBT090125134651-Budapest</t>
        </is>
      </c>
      <c r="B37" s="3" t="inlineStr">
        <is>
          <t>Budapest</t>
        </is>
      </c>
      <c r="C37" s="9" t="n">
        <v>208</v>
      </c>
      <c r="D37" s="3" t="inlineStr">
        <is>
          <t>613</t>
        </is>
      </c>
      <c r="E37" s="10" t="n">
        <v>45666.57420138889</v>
      </c>
      <c r="F37" s="10" t="n">
        <v>45666.59717592593</v>
      </c>
      <c r="G37" s="10" t="n">
        <v>45666.63328703704</v>
      </c>
      <c r="H37" s="10" t="n">
        <v>45666.63328703704</v>
      </c>
      <c r="I37" s="10" t="n">
        <v>45666.63328703704</v>
      </c>
      <c r="J37" s="10" t="n">
        <v>45666.63420138889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IF(AND(ISNUMBER(I37),ISNUMBER(J37)),(J37-I37),"")</f>
        <v/>
      </c>
      <c r="O37" s="11">
        <f>IF(AND(ISNUMBER(E37),ISNUMBER(J37)),(J37-E37),"")</f>
        <v/>
      </c>
    </row>
    <row r="38">
      <c r="A38" s="3" t="inlineStr">
        <is>
          <t>OBT090125135236-Linz</t>
        </is>
      </c>
      <c r="B38" s="3" t="inlineStr">
        <is>
          <t>Linz</t>
        </is>
      </c>
      <c r="C38" s="9" t="n">
        <v>112</v>
      </c>
      <c r="D38" s="3" t="inlineStr">
        <is>
          <t>625</t>
        </is>
      </c>
      <c r="E38" s="10" t="n">
        <v>45666.57819444445</v>
      </c>
      <c r="F38" s="10" t="n">
        <v>45666.60576388889</v>
      </c>
      <c r="G38" s="10" t="n">
        <v>45666.62520833333</v>
      </c>
      <c r="H38" s="10" t="n">
        <v>45666.62520833333</v>
      </c>
      <c r="I38" s="10" t="n">
        <v>45666.62520833333</v>
      </c>
      <c r="J38" s="10" t="n">
        <v>45666.62597222222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IF(AND(ISNUMBER(I38),ISNUMBER(J38)),(J38-I38),"")</f>
        <v/>
      </c>
      <c r="O38" s="11">
        <f>IF(AND(ISNUMBER(E38),ISNUMBER(J38)),(J38-E38),"")</f>
        <v/>
      </c>
    </row>
    <row r="39">
      <c r="A39" s="3" t="inlineStr">
        <is>
          <t>OBT090125141313-Ljubljana</t>
        </is>
      </c>
      <c r="B39" s="3" t="inlineStr">
        <is>
          <t>Ljubljana</t>
        </is>
      </c>
      <c r="C39" s="9" t="n">
        <v>112</v>
      </c>
      <c r="D39" s="3" t="inlineStr">
        <is>
          <t>607</t>
        </is>
      </c>
      <c r="E39" s="10" t="n">
        <v>45666.59251157408</v>
      </c>
      <c r="F39" s="10" t="n">
        <v>45666.6065162037</v>
      </c>
      <c r="G39" s="10" t="n">
        <v>45666.62596064815</v>
      </c>
      <c r="H39" s="10" t="n">
        <v>45666.62596064815</v>
      </c>
      <c r="I39" s="10" t="n">
        <v>45666.62597222222</v>
      </c>
      <c r="J39" s="10" t="n">
        <v>45666.62681712963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IF(AND(ISNUMBER(I39),ISNUMBER(J39)),(J39-I39),"")</f>
        <v/>
      </c>
      <c r="O39" s="11">
        <f>IF(AND(ISNUMBER(E39),ISNUMBER(J39)),(J39-E39),"")</f>
        <v/>
      </c>
    </row>
    <row r="40">
      <c r="A40" s="3" t="inlineStr">
        <is>
          <t>OBT090125142902-Graz</t>
        </is>
      </c>
      <c r="B40" s="3" t="inlineStr">
        <is>
          <t>Graz</t>
        </is>
      </c>
      <c r="C40" s="9" t="n">
        <v>128</v>
      </c>
      <c r="D40" s="3" t="inlineStr">
        <is>
          <t>609</t>
        </is>
      </c>
      <c r="E40" s="10" t="n">
        <v>45666.60349537037</v>
      </c>
      <c r="F40" s="10" t="n">
        <v>45666.62694444445</v>
      </c>
      <c r="G40" s="10" t="n">
        <v>45666.64916666667</v>
      </c>
      <c r="H40" s="10" t="n">
        <v>45666.64916666667</v>
      </c>
      <c r="I40" s="10" t="n">
        <v>45666.64916666667</v>
      </c>
      <c r="J40" s="10" t="n">
        <v>45666.65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IF(AND(ISNUMBER(I40),ISNUMBER(J40)),(J40-I40),"")</f>
        <v/>
      </c>
      <c r="O40" s="11">
        <f>IF(AND(ISNUMBER(E40),ISNUMBER(J40)),(J40-E40),"")</f>
        <v/>
      </c>
    </row>
    <row r="41">
      <c r="A41" s="3" t="inlineStr">
        <is>
          <t>OBT090125142948-Vienna</t>
        </is>
      </c>
      <c r="B41" s="3" t="inlineStr">
        <is>
          <t>Vienna</t>
        </is>
      </c>
      <c r="C41" s="9" t="n">
        <v>144</v>
      </c>
      <c r="D41" s="3" t="inlineStr">
        <is>
          <t>623</t>
        </is>
      </c>
      <c r="E41" s="10" t="n">
        <v>45666.60402777778</v>
      </c>
      <c r="F41" s="10" t="n">
        <v>45666.62769675926</v>
      </c>
      <c r="G41" s="10" t="n">
        <v>45666.65269675926</v>
      </c>
      <c r="H41" s="10" t="n">
        <v>45666.65269675926</v>
      </c>
      <c r="I41" s="10" t="n">
        <v>45666.65269675926</v>
      </c>
      <c r="J41" s="10" t="n">
        <v>45666.65357638889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IF(AND(ISNUMBER(I41),ISNUMBER(J41)),(J41-I41),"")</f>
        <v/>
      </c>
      <c r="O41" s="11">
        <f>IF(AND(ISNUMBER(E41),ISNUMBER(J41)),(J41-E41),"")</f>
        <v/>
      </c>
    </row>
    <row r="42">
      <c r="A42" s="3" t="inlineStr">
        <is>
          <t>OBT090125193547-Budapest</t>
        </is>
      </c>
      <c r="B42" s="3" t="inlineStr">
        <is>
          <t>Budapest</t>
        </is>
      </c>
      <c r="C42" s="9" t="n">
        <v>144</v>
      </c>
      <c r="D42" s="3" t="inlineStr">
        <is>
          <t>615</t>
        </is>
      </c>
      <c r="E42" s="10" t="n">
        <v>45666.8165162037</v>
      </c>
      <c r="F42" s="10" t="n">
        <v>45666.81737268518</v>
      </c>
      <c r="G42" s="10" t="n">
        <v>45666.84237268518</v>
      </c>
      <c r="H42" s="10" t="n">
        <v>45666.84237268518</v>
      </c>
      <c r="I42" s="10" t="n">
        <v>45666.84237268518</v>
      </c>
      <c r="J42" s="10" t="n">
        <v>45666.8431712963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IF(AND(ISNUMBER(I42),ISNUMBER(J42)),(J42-I42),"")</f>
        <v/>
      </c>
      <c r="O42" s="11">
        <f>IF(AND(ISNUMBER(E42),ISNUMBER(J42)),(J42-E42),"")</f>
        <v/>
      </c>
    </row>
    <row r="43">
      <c r="A43" s="3" t="inlineStr">
        <is>
          <t>OBT090125194448-Vienna</t>
        </is>
      </c>
      <c r="B43" s="3" t="inlineStr">
        <is>
          <t>Vienna</t>
        </is>
      </c>
      <c r="C43" s="9" t="n">
        <v>176</v>
      </c>
      <c r="D43" s="3" t="inlineStr">
        <is>
          <t>613</t>
        </is>
      </c>
      <c r="E43" s="10" t="n">
        <v>45666.82277777778</v>
      </c>
      <c r="F43" s="10" t="n">
        <v>45666.82364583333</v>
      </c>
      <c r="G43" s="10" t="n">
        <v>45666.85420138889</v>
      </c>
      <c r="H43" s="10" t="n">
        <v>45666.85420138889</v>
      </c>
      <c r="I43" s="10" t="n">
        <v>45666.85420138889</v>
      </c>
      <c r="J43" s="10" t="n">
        <v>45666.85503472222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IF(AND(ISNUMBER(I43),ISNUMBER(J43)),(J43-I43),"")</f>
        <v/>
      </c>
      <c r="O43" s="11">
        <f>IF(AND(ISNUMBER(E43),ISNUMBER(J43)),(J43-E43),"")</f>
        <v/>
      </c>
    </row>
    <row r="44">
      <c r="A44" s="3" t="inlineStr">
        <is>
          <t>OBT090125232040-Salzburg</t>
        </is>
      </c>
      <c r="B44" s="3" t="inlineStr">
        <is>
          <t>Salzburg</t>
        </is>
      </c>
      <c r="C44" s="9" t="n">
        <v>192</v>
      </c>
      <c r="D44" s="3" t="inlineStr">
        <is>
          <t>605</t>
        </is>
      </c>
      <c r="E44" s="10" t="n">
        <v>45666.97268518519</v>
      </c>
      <c r="F44" s="10" t="n">
        <v>45666.97355324074</v>
      </c>
      <c r="G44" s="10" t="n">
        <v>45667.00688657408</v>
      </c>
      <c r="H44" s="10" t="n">
        <v>45667.00688657408</v>
      </c>
      <c r="I44" s="10" t="n">
        <v>45667.00688657408</v>
      </c>
      <c r="J44" s="10" t="n">
        <v>45667.00792824074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IF(AND(ISNUMBER(I44),ISNUMBER(J44)),(J44-I44),"")</f>
        <v/>
      </c>
      <c r="O44" s="11">
        <f>IF(AND(ISNUMBER(E44),ISNUMBER(J44)),(J44-E44),"")</f>
        <v/>
      </c>
    </row>
    <row r="45">
      <c r="A45" s="3" t="inlineStr">
        <is>
          <t>OBT100125080623-Klagenfurt</t>
        </is>
      </c>
      <c r="B45" s="3" t="inlineStr">
        <is>
          <t>Klagenfurt</t>
        </is>
      </c>
      <c r="C45" s="9" t="n">
        <v>128</v>
      </c>
      <c r="D45" s="3" t="inlineStr">
        <is>
          <t>627</t>
        </is>
      </c>
      <c r="E45" s="10" t="n">
        <v>45667.3377662037</v>
      </c>
      <c r="F45" s="10" t="n">
        <v>45667.33863425926</v>
      </c>
      <c r="G45" s="10" t="n">
        <v>45667.36085648148</v>
      </c>
      <c r="H45" s="10" t="n">
        <v>45667.36085648148</v>
      </c>
      <c r="I45" s="10" t="n">
        <v>45667.36085648148</v>
      </c>
      <c r="J45" s="10" t="n">
        <v>45667.36155092593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IF(AND(ISNUMBER(I45),ISNUMBER(J45)),(J45-I45),"")</f>
        <v/>
      </c>
      <c r="O45" s="11">
        <f>IF(AND(ISNUMBER(E45),ISNUMBER(J45)),(J45-E45),"")</f>
        <v/>
      </c>
    </row>
    <row r="46">
      <c r="A46" s="3" t="inlineStr">
        <is>
          <t>OBT100125093309-Graz</t>
        </is>
      </c>
      <c r="B46" s="3" t="inlineStr">
        <is>
          <t>Graz</t>
        </is>
      </c>
      <c r="C46" s="9" t="n">
        <v>144</v>
      </c>
      <c r="D46" s="3" t="inlineStr">
        <is>
          <t>615</t>
        </is>
      </c>
      <c r="E46" s="10" t="n">
        <v>45667.39802083333</v>
      </c>
      <c r="F46" s="10" t="n">
        <v>45667.39886574074</v>
      </c>
      <c r="G46" s="10" t="n">
        <v>45667.42386574074</v>
      </c>
      <c r="H46" s="10" t="n">
        <v>45667.42386574074</v>
      </c>
      <c r="I46" s="10" t="n">
        <v>45667.42386574074</v>
      </c>
      <c r="J46" s="10" t="n">
        <v>45667.42466435185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IF(AND(ISNUMBER(I46),ISNUMBER(J46)),(J46-I46),"")</f>
        <v/>
      </c>
      <c r="O46" s="11">
        <f>IF(AND(ISNUMBER(E46),ISNUMBER(J46)),(J46-E46),"")</f>
        <v/>
      </c>
    </row>
    <row r="47">
      <c r="A47" s="3" t="inlineStr">
        <is>
          <t>OBT100125133454-Linz</t>
        </is>
      </c>
      <c r="B47" s="3" t="inlineStr">
        <is>
          <t>Linz</t>
        </is>
      </c>
      <c r="C47" s="9" t="n">
        <v>128</v>
      </c>
      <c r="D47" s="3" t="inlineStr">
        <is>
          <t>615</t>
        </is>
      </c>
      <c r="E47" s="10" t="n">
        <v>45667.56590277778</v>
      </c>
      <c r="F47" s="10" t="n">
        <v>45667.56761574074</v>
      </c>
      <c r="G47" s="10" t="n">
        <v>45667.58983796297</v>
      </c>
      <c r="H47" s="10" t="n">
        <v>45667.58983796297</v>
      </c>
      <c r="I47" s="10" t="n">
        <v>45667.58983796297</v>
      </c>
      <c r="J47" s="10" t="n">
        <v>45667.59060185185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IF(AND(ISNUMBER(I47),ISNUMBER(J47)),(J47-I47),"")</f>
        <v/>
      </c>
      <c r="O47" s="11">
        <f>IF(AND(ISNUMBER(E47),ISNUMBER(J47)),(J47-E47),"")</f>
        <v/>
      </c>
    </row>
    <row r="48">
      <c r="A48" s="3" t="inlineStr">
        <is>
          <t>OBT100125133507-Ljubljana</t>
        </is>
      </c>
      <c r="B48" s="3" t="inlineStr">
        <is>
          <t>Ljubljana</t>
        </is>
      </c>
      <c r="C48" s="9" t="n">
        <v>176</v>
      </c>
      <c r="D48" s="3" t="inlineStr">
        <is>
          <t>625</t>
        </is>
      </c>
      <c r="E48" s="10" t="n">
        <v>45667.56605324074</v>
      </c>
      <c r="F48" s="10" t="n">
        <v>45667.56783564815</v>
      </c>
      <c r="G48" s="10" t="n">
        <v>45667.5983912037</v>
      </c>
      <c r="H48" s="10" t="n">
        <v>45667.5983912037</v>
      </c>
      <c r="I48" s="10" t="n">
        <v>45667.5983912037</v>
      </c>
      <c r="J48" s="10" t="n">
        <v>45667.59930555556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IF(AND(ISNUMBER(I48),ISNUMBER(J48)),(J48-I48),"")</f>
        <v/>
      </c>
      <c r="O48" s="11">
        <f>IF(AND(ISNUMBER(E48),ISNUMBER(J48)),(J48-E48),"")</f>
        <v/>
      </c>
    </row>
    <row r="49">
      <c r="A49" s="3" t="inlineStr">
        <is>
          <t>OBT100125133517-Salzburg</t>
        </is>
      </c>
      <c r="B49" s="3" t="inlineStr">
        <is>
          <t>Salzburg</t>
        </is>
      </c>
      <c r="C49" s="9" t="n">
        <v>128</v>
      </c>
      <c r="D49" s="3" t="inlineStr">
        <is>
          <t>623</t>
        </is>
      </c>
      <c r="E49" s="10" t="n">
        <v>45667.56616898148</v>
      </c>
      <c r="F49" s="10" t="n">
        <v>45667.58241898148</v>
      </c>
      <c r="G49" s="10" t="n">
        <v>45667.6046412037</v>
      </c>
      <c r="H49" s="10" t="n">
        <v>45667.6046412037</v>
      </c>
      <c r="I49" s="10" t="n">
        <v>45667.6046412037</v>
      </c>
      <c r="J49" s="10" t="n">
        <v>45667.60547453703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IF(AND(ISNUMBER(I49),ISNUMBER(J49)),(J49-I49),"")</f>
        <v/>
      </c>
      <c r="O49" s="11">
        <f>IF(AND(ISNUMBER(E49),ISNUMBER(J49)),(J49-E49),"")</f>
        <v/>
      </c>
    </row>
    <row r="50">
      <c r="A50" s="3" t="inlineStr">
        <is>
          <t>OBT100125134146-Graz</t>
        </is>
      </c>
      <c r="B50" s="3" t="inlineStr">
        <is>
          <t>Graz</t>
        </is>
      </c>
      <c r="C50" s="9" t="n">
        <v>128</v>
      </c>
      <c r="D50" s="3" t="inlineStr">
        <is>
          <t>619</t>
        </is>
      </c>
      <c r="E50" s="10" t="n">
        <v>45667.57067129629</v>
      </c>
      <c r="F50" s="10" t="n">
        <v>45667.59157407407</v>
      </c>
      <c r="G50" s="10" t="n">
        <v>45667.6137962963</v>
      </c>
      <c r="H50" s="10" t="n">
        <v>45667.6137962963</v>
      </c>
      <c r="I50" s="10" t="n">
        <v>45667.6137962963</v>
      </c>
      <c r="J50" s="10" t="n">
        <v>45667.61464120371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IF(AND(ISNUMBER(I50),ISNUMBER(J50)),(J50-I50),"")</f>
        <v/>
      </c>
      <c r="O50" s="11">
        <f>IF(AND(ISNUMBER(E50),ISNUMBER(J50)),(J50-E50),"")</f>
        <v/>
      </c>
    </row>
    <row r="51">
      <c r="A51" s="3" t="inlineStr">
        <is>
          <t>OBT100125135618-Vienna</t>
        </is>
      </c>
      <c r="B51" s="3" t="inlineStr">
        <is>
          <t>Vienna</t>
        </is>
      </c>
      <c r="C51" s="9" t="n">
        <v>176</v>
      </c>
      <c r="D51" s="3" t="inlineStr">
        <is>
          <t>605</t>
        </is>
      </c>
      <c r="E51" s="10" t="n">
        <v>45667.58076388889</v>
      </c>
      <c r="F51" s="10" t="n">
        <v>45667.60006944444</v>
      </c>
      <c r="G51" s="10" t="n">
        <v>45667.630625</v>
      </c>
      <c r="H51" s="10" t="n">
        <v>45667.630625</v>
      </c>
      <c r="I51" s="10" t="n">
        <v>45667.630625</v>
      </c>
      <c r="J51" s="10" t="n">
        <v>45667.63162037037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IF(AND(ISNUMBER(I51),ISNUMBER(J51)),(J51-I51),"")</f>
        <v/>
      </c>
      <c r="O51" s="11">
        <f>IF(AND(ISNUMBER(E51),ISNUMBER(J51)),(J51-E51),"")</f>
        <v/>
      </c>
    </row>
    <row r="52">
      <c r="A52" s="3" t="inlineStr">
        <is>
          <t>OBT100125152926-Budapest</t>
        </is>
      </c>
      <c r="B52" s="3" t="inlineStr">
        <is>
          <t>Budapest</t>
        </is>
      </c>
      <c r="C52" s="9" t="n">
        <v>128</v>
      </c>
      <c r="D52" s="3" t="inlineStr">
        <is>
          <t>613</t>
        </is>
      </c>
      <c r="E52" s="10" t="n">
        <v>45667.64543981481</v>
      </c>
      <c r="F52" s="10" t="n">
        <v>45667.64630787037</v>
      </c>
      <c r="G52" s="10" t="n">
        <v>45667.66853009259</v>
      </c>
      <c r="H52" s="10" t="n">
        <v>45667.66853009259</v>
      </c>
      <c r="I52" s="10" t="n">
        <v>45667.66853009259</v>
      </c>
      <c r="J52" s="10" t="n">
        <v>45667.66924768518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IF(AND(ISNUMBER(I52),ISNUMBER(J52)),(J52-I52),"")</f>
        <v/>
      </c>
      <c r="O52" s="11">
        <f>IF(AND(ISNUMBER(E52),ISNUMBER(J52)),(J52-E52),"")</f>
        <v/>
      </c>
    </row>
    <row r="53">
      <c r="A53" s="3" t="inlineStr">
        <is>
          <t>OBT100125154054-Graz</t>
        </is>
      </c>
      <c r="B53" s="3" t="inlineStr">
        <is>
          <t>Graz</t>
        </is>
      </c>
      <c r="C53" s="9" t="n">
        <v>128</v>
      </c>
      <c r="D53" s="3" t="inlineStr">
        <is>
          <t>625</t>
        </is>
      </c>
      <c r="E53" s="10" t="n">
        <v>45667.65340277777</v>
      </c>
      <c r="F53" s="10" t="n">
        <v>45667.65427083334</v>
      </c>
      <c r="G53" s="10" t="n">
        <v>45667.67649305556</v>
      </c>
      <c r="H53" s="10" t="n">
        <v>45667.67649305556</v>
      </c>
      <c r="I53" s="10" t="n">
        <v>45667.67649305556</v>
      </c>
      <c r="J53" s="10" t="n">
        <v>45667.67728009259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IF(AND(ISNUMBER(I53),ISNUMBER(J53)),(J53-I53),"")</f>
        <v/>
      </c>
      <c r="O53" s="11">
        <f>IF(AND(ISNUMBER(E53),ISNUMBER(J53)),(J53-E53),"")</f>
        <v/>
      </c>
    </row>
    <row r="54">
      <c r="A54" s="3" t="inlineStr">
        <is>
          <t>OBT100125162009-Salzburg</t>
        </is>
      </c>
      <c r="B54" s="3" t="inlineStr">
        <is>
          <t>Salzburg</t>
        </is>
      </c>
      <c r="C54" s="9" t="n">
        <v>160</v>
      </c>
      <c r="D54" s="3" t="inlineStr">
        <is>
          <t>605</t>
        </is>
      </c>
      <c r="E54" s="10" t="n">
        <v>45667.68065972222</v>
      </c>
      <c r="F54" s="10" t="n">
        <v>45667.68152777778</v>
      </c>
      <c r="G54" s="10" t="n">
        <v>45667.70930555555</v>
      </c>
      <c r="H54" s="10" t="n">
        <v>45667.70930555555</v>
      </c>
      <c r="I54" s="10" t="n">
        <v>45667.70930555555</v>
      </c>
      <c r="J54" s="10" t="n">
        <v>45667.71026620371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IF(AND(ISNUMBER(I54),ISNUMBER(J54)),(J54-I54),"")</f>
        <v/>
      </c>
      <c r="O54" s="11">
        <f>IF(AND(ISNUMBER(E54),ISNUMBER(J54)),(J54-E54),"")</f>
        <v/>
      </c>
    </row>
    <row r="55">
      <c r="A55" s="3" t="inlineStr">
        <is>
          <t>OBT100125165112-Innsbruck</t>
        </is>
      </c>
      <c r="B55" s="3" t="inlineStr">
        <is>
          <t>Innsbruck</t>
        </is>
      </c>
      <c r="C55" s="9" t="n">
        <v>160</v>
      </c>
      <c r="D55" s="3" t="inlineStr">
        <is>
          <t>606</t>
        </is>
      </c>
      <c r="E55" s="10" t="n">
        <v>45667.70222222222</v>
      </c>
      <c r="F55" s="10" t="n">
        <v>45667.70305555555</v>
      </c>
      <c r="G55" s="10" t="n">
        <v>45667.73083333333</v>
      </c>
      <c r="H55" s="10" t="n">
        <v>45667.73083333333</v>
      </c>
      <c r="I55" s="10" t="n">
        <v>45667.73083333333</v>
      </c>
      <c r="J55" s="10" t="n">
        <v>45667.73171296297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IF(AND(ISNUMBER(I55),ISNUMBER(J55)),(J55-I55),"")</f>
        <v/>
      </c>
      <c r="O55" s="11">
        <f>IF(AND(ISNUMBER(E55),ISNUMBER(J55)),(J55-E55),"")</f>
        <v/>
      </c>
    </row>
    <row r="56">
      <c r="A56" s="3" t="inlineStr">
        <is>
          <t>OBT100125165346-Linz</t>
        </is>
      </c>
      <c r="B56" s="3" t="inlineStr">
        <is>
          <t>Linz</t>
        </is>
      </c>
      <c r="C56" s="9" t="n">
        <v>176</v>
      </c>
      <c r="D56" s="3" t="inlineStr">
        <is>
          <t>607</t>
        </is>
      </c>
      <c r="E56" s="10" t="n">
        <v>45667.70400462963</v>
      </c>
      <c r="F56" s="10" t="n">
        <v>45667.70574074074</v>
      </c>
      <c r="G56" s="10" t="n">
        <v>45667.73629629629</v>
      </c>
      <c r="H56" s="10" t="n">
        <v>45667.73629629629</v>
      </c>
      <c r="I56" s="10" t="n">
        <v>45667.73629629629</v>
      </c>
      <c r="J56" s="10" t="n">
        <v>45667.73730324074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IF(AND(ISNUMBER(I56),ISNUMBER(J56)),(J56-I56),"")</f>
        <v/>
      </c>
      <c r="O56" s="11">
        <f>IF(AND(ISNUMBER(E56),ISNUMBER(J56)),(J56-E56),"")</f>
        <v/>
      </c>
    </row>
    <row r="57">
      <c r="A57" s="3" t="inlineStr">
        <is>
          <t>OBT110125063829-Ljubljana</t>
        </is>
      </c>
      <c r="B57" s="3" t="inlineStr">
        <is>
          <t>Ljubljana</t>
        </is>
      </c>
      <c r="C57" s="9" t="n">
        <v>112</v>
      </c>
      <c r="D57" s="3" t="inlineStr">
        <is>
          <t>615</t>
        </is>
      </c>
      <c r="E57" s="10" t="n">
        <v>45668.27672453703</v>
      </c>
      <c r="F57" s="10" t="n">
        <v>45668.27756944444</v>
      </c>
      <c r="G57" s="10" t="n">
        <v>45668.29701388889</v>
      </c>
      <c r="H57" s="10" t="n">
        <v>45668.29701388889</v>
      </c>
      <c r="I57" s="10" t="n">
        <v>45668.29701388889</v>
      </c>
      <c r="J57" s="10" t="n">
        <v>45668.29773148148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IF(AND(ISNUMBER(I57),ISNUMBER(J57)),(J57-I57),"")</f>
        <v/>
      </c>
      <c r="O57" s="11">
        <f>IF(AND(ISNUMBER(E57),ISNUMBER(J57)),(J57-E57),"")</f>
        <v/>
      </c>
    </row>
    <row r="58">
      <c r="A58" s="3" t="inlineStr">
        <is>
          <t>OBT110125063952-Graz</t>
        </is>
      </c>
      <c r="B58" s="3" t="inlineStr">
        <is>
          <t>Graz</t>
        </is>
      </c>
      <c r="C58" s="9" t="n">
        <v>144</v>
      </c>
      <c r="D58" s="3" t="inlineStr">
        <is>
          <t>619</t>
        </is>
      </c>
      <c r="E58" s="10" t="n">
        <v>45668.27768518519</v>
      </c>
      <c r="F58" s="10" t="n">
        <v>45668.27855324074</v>
      </c>
      <c r="G58" s="10" t="n">
        <v>45668.30355324074</v>
      </c>
      <c r="H58" s="10" t="n">
        <v>45668.30355324074</v>
      </c>
      <c r="I58" s="10" t="n">
        <v>45668.30355324074</v>
      </c>
      <c r="J58" s="10" t="n">
        <v>45668.30443287037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IF(AND(ISNUMBER(I58),ISNUMBER(J58)),(J58-I58),"")</f>
        <v/>
      </c>
      <c r="O58" s="11">
        <f>IF(AND(ISNUMBER(E58),ISNUMBER(J58)),(J58-E58),"")</f>
        <v/>
      </c>
    </row>
    <row r="59">
      <c r="A59" s="3" t="inlineStr">
        <is>
          <t>OBT110125071413-Ljubljana</t>
        </is>
      </c>
      <c r="B59" s="3" t="inlineStr">
        <is>
          <t>Ljubljana</t>
        </is>
      </c>
      <c r="C59" s="9" t="n">
        <v>176</v>
      </c>
      <c r="D59" s="3" t="inlineStr">
        <is>
          <t>607</t>
        </is>
      </c>
      <c r="E59" s="10" t="n">
        <v>45668.30153935185</v>
      </c>
      <c r="F59" s="10" t="n">
        <v>45668.30239583334</v>
      </c>
      <c r="G59" s="10" t="n">
        <v>45668.33295138889</v>
      </c>
      <c r="H59" s="10" t="n">
        <v>45668.33295138889</v>
      </c>
      <c r="I59" s="10" t="n">
        <v>45668.33295138889</v>
      </c>
      <c r="J59" s="10" t="n">
        <v>45668.33394675926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IF(AND(ISNUMBER(I59),ISNUMBER(J59)),(J59-I59),"")</f>
        <v/>
      </c>
      <c r="O59" s="11">
        <f>IF(AND(ISNUMBER(E59),ISNUMBER(J59)),(J59-E59),"")</f>
        <v/>
      </c>
    </row>
    <row r="60">
      <c r="A60" s="3" t="inlineStr">
        <is>
          <t>OBT110125073539-Innsbruck</t>
        </is>
      </c>
      <c r="B60" s="3" t="inlineStr">
        <is>
          <t>Innsbruck</t>
        </is>
      </c>
      <c r="C60" s="9" t="n">
        <v>176</v>
      </c>
      <c r="D60" s="3" t="inlineStr">
        <is>
          <t>623</t>
        </is>
      </c>
      <c r="E60" s="10" t="n">
        <v>45668.31642361111</v>
      </c>
      <c r="F60" s="10" t="n">
        <v>45668.32149305556</v>
      </c>
      <c r="G60" s="10" t="n">
        <v>45668.35204861111</v>
      </c>
      <c r="H60" s="10" t="n">
        <v>45668.35204861111</v>
      </c>
      <c r="I60" s="10" t="n">
        <v>45668.35204861111</v>
      </c>
      <c r="J60" s="10" t="n">
        <v>45668.35299768519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IF(AND(ISNUMBER(I60),ISNUMBER(J60)),(J60-I60),"")</f>
        <v/>
      </c>
      <c r="O60" s="11">
        <f>IF(AND(ISNUMBER(E60),ISNUMBER(J60)),(J60-E60),"")</f>
        <v/>
      </c>
    </row>
    <row r="61">
      <c r="A61" s="3" t="inlineStr">
        <is>
          <t>OBT110125074027-Salzburg</t>
        </is>
      </c>
      <c r="B61" s="3" t="inlineStr">
        <is>
          <t>Salzburg</t>
        </is>
      </c>
      <c r="C61" s="9" t="n">
        <v>128</v>
      </c>
      <c r="D61" s="3" t="inlineStr">
        <is>
          <t>625</t>
        </is>
      </c>
      <c r="E61" s="10" t="n">
        <v>45668.31975694445</v>
      </c>
      <c r="F61" s="10" t="n">
        <v>45668.3246875</v>
      </c>
      <c r="G61" s="10" t="n">
        <v>45668.34690972222</v>
      </c>
      <c r="H61" s="10" t="n">
        <v>45668.34690972222</v>
      </c>
      <c r="I61" s="10" t="n">
        <v>45668.34690972222</v>
      </c>
      <c r="J61" s="10" t="n">
        <v>45668.34769675926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IF(AND(ISNUMBER(I61),ISNUMBER(J61)),(J61-I61),"")</f>
        <v/>
      </c>
      <c r="O61" s="11">
        <f>IF(AND(ISNUMBER(E61),ISNUMBER(J61)),(J61-E61),"")</f>
        <v/>
      </c>
    </row>
    <row r="62">
      <c r="A62" s="3" t="inlineStr">
        <is>
          <t>OBT110125122417-Budapest</t>
        </is>
      </c>
      <c r="B62" s="3" t="inlineStr">
        <is>
          <t>Budapest</t>
        </is>
      </c>
      <c r="C62" s="9" t="n">
        <v>128</v>
      </c>
      <c r="D62" s="3" t="inlineStr">
        <is>
          <t>613</t>
        </is>
      </c>
      <c r="E62" s="10" t="n">
        <v>45668.51686342592</v>
      </c>
      <c r="F62" s="10" t="n">
        <v>45668.51773148148</v>
      </c>
      <c r="G62" s="10" t="n">
        <v>45668.5399537037</v>
      </c>
      <c r="H62" s="10" t="n">
        <v>45668.5399537037</v>
      </c>
      <c r="I62" s="10" t="n">
        <v>45668.5399537037</v>
      </c>
      <c r="J62" s="10" t="n">
        <v>45668.54067129629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IF(AND(ISNUMBER(I62),ISNUMBER(J62)),(J62-I62),"")</f>
        <v/>
      </c>
      <c r="O62" s="11">
        <f>IF(AND(ISNUMBER(E62),ISNUMBER(J62)),(J62-E62),"")</f>
        <v/>
      </c>
    </row>
    <row r="63">
      <c r="A63" s="3" t="inlineStr">
        <is>
          <t>OBT110125125652-Vienna</t>
        </is>
      </c>
      <c r="B63" s="3" t="inlineStr">
        <is>
          <t>Vienna</t>
        </is>
      </c>
      <c r="C63" s="9" t="n">
        <v>160</v>
      </c>
      <c r="D63" s="3" t="inlineStr">
        <is>
          <t>605</t>
        </is>
      </c>
      <c r="E63" s="10" t="n">
        <v>45668.53949074074</v>
      </c>
      <c r="F63" s="10" t="n">
        <v>45668.54168981482</v>
      </c>
      <c r="G63" s="10" t="n">
        <v>45668.56946759259</v>
      </c>
      <c r="H63" s="10" t="n">
        <v>45668.56946759259</v>
      </c>
      <c r="I63" s="10" t="n">
        <v>45668.56946759259</v>
      </c>
      <c r="J63" s="10" t="n">
        <v>45668.57042824074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IF(AND(ISNUMBER(I63),ISNUMBER(J63)),(J63-I63),"")</f>
        <v/>
      </c>
      <c r="O63" s="11">
        <f>IF(AND(ISNUMBER(E63),ISNUMBER(J63)),(J63-E63),"")</f>
        <v/>
      </c>
    </row>
    <row r="64">
      <c r="A64" s="3" t="inlineStr">
        <is>
          <t>OBT110125130204-Ljubljana</t>
        </is>
      </c>
      <c r="B64" s="3" t="inlineStr">
        <is>
          <t>Ljubljana</t>
        </is>
      </c>
      <c r="C64" s="9" t="n">
        <v>112</v>
      </c>
      <c r="D64" s="3" t="inlineStr">
        <is>
          <t>625</t>
        </is>
      </c>
      <c r="E64" s="10" t="n">
        <v>45668.54310185185</v>
      </c>
      <c r="F64" s="10" t="n">
        <v>45668.54569444444</v>
      </c>
      <c r="G64" s="10" t="n">
        <v>45668.56513888889</v>
      </c>
      <c r="H64" s="10" t="n">
        <v>45668.56513888889</v>
      </c>
      <c r="I64" s="10" t="n">
        <v>45668.56513888889</v>
      </c>
      <c r="J64" s="10" t="n">
        <v>45668.5658912037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IF(AND(ISNUMBER(I64),ISNUMBER(J64)),(J64-I64),"")</f>
        <v/>
      </c>
      <c r="O64" s="11">
        <f>IF(AND(ISNUMBER(E64),ISNUMBER(J64)),(J64-E64),"")</f>
        <v/>
      </c>
    </row>
    <row r="65">
      <c r="A65" s="3" t="inlineStr">
        <is>
          <t>OBT110125130321-Klagenfurt</t>
        </is>
      </c>
      <c r="B65" s="3" t="inlineStr">
        <is>
          <t>Klagenfurt</t>
        </is>
      </c>
      <c r="C65" s="9" t="n">
        <v>144</v>
      </c>
      <c r="D65" s="3" t="inlineStr">
        <is>
          <t>627</t>
        </is>
      </c>
      <c r="E65" s="10" t="n">
        <v>45668.54399305556</v>
      </c>
      <c r="F65" s="10" t="n">
        <v>45668.5668287037</v>
      </c>
      <c r="G65" s="10" t="n">
        <v>45668.59182870371</v>
      </c>
      <c r="H65" s="10" t="n">
        <v>45668.59182870371</v>
      </c>
      <c r="I65" s="10" t="n">
        <v>45668.59182870371</v>
      </c>
      <c r="J65" s="10" t="n">
        <v>45668.59255787037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IF(AND(ISNUMBER(I65),ISNUMBER(J65)),(J65-I65),"")</f>
        <v/>
      </c>
      <c r="O65" s="11">
        <f>IF(AND(ISNUMBER(E65),ISNUMBER(J65)),(J65-E65),"")</f>
        <v/>
      </c>
    </row>
    <row r="66">
      <c r="A66" s="3" t="inlineStr">
        <is>
          <t>OBT110125130624-Salzburg</t>
        </is>
      </c>
      <c r="B66" s="3" t="inlineStr">
        <is>
          <t>Salzburg</t>
        </is>
      </c>
      <c r="C66" s="9" t="n">
        <v>160</v>
      </c>
      <c r="D66" s="3" t="inlineStr">
        <is>
          <t>615</t>
        </is>
      </c>
      <c r="E66" s="10" t="n">
        <v>45668.54611111111</v>
      </c>
      <c r="F66" s="10" t="n">
        <v>45668.57027777778</v>
      </c>
      <c r="G66" s="10" t="n">
        <v>45668.59805555556</v>
      </c>
      <c r="H66" s="10" t="n">
        <v>45668.59805555556</v>
      </c>
      <c r="I66" s="10" t="n">
        <v>45668.59805555556</v>
      </c>
      <c r="J66" s="10" t="n">
        <v>45668.59888888889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IF(AND(ISNUMBER(I66),ISNUMBER(J66)),(J66-I66),"")</f>
        <v/>
      </c>
      <c r="O66" s="11">
        <f>IF(AND(ISNUMBER(E66),ISNUMBER(J66)),(J66-E66),"")</f>
        <v/>
      </c>
    </row>
    <row r="67">
      <c r="A67" s="3" t="inlineStr">
        <is>
          <t>OBT110125133600-Ljubljana</t>
        </is>
      </c>
      <c r="B67" s="3" t="inlineStr">
        <is>
          <t>Ljubljana</t>
        </is>
      </c>
      <c r="C67" s="9" t="n">
        <v>176</v>
      </c>
      <c r="D67" s="3" t="inlineStr">
        <is>
          <t>613</t>
        </is>
      </c>
      <c r="E67" s="10" t="n">
        <v>45668.56666666667</v>
      </c>
      <c r="F67" s="10" t="n">
        <v>45668.5712037037</v>
      </c>
      <c r="G67" s="10" t="n">
        <v>45668.60175925926</v>
      </c>
      <c r="H67" s="10" t="n">
        <v>45668.60175925926</v>
      </c>
      <c r="I67" s="10" t="n">
        <v>45668.60175925926</v>
      </c>
      <c r="J67" s="10" t="n">
        <v>45668.60259259259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IF(AND(ISNUMBER(I67),ISNUMBER(J67)),(J67-I67),"")</f>
        <v/>
      </c>
      <c r="O67" s="11">
        <f>IF(AND(ISNUMBER(E67),ISNUMBER(J67)),(J67-E67),"")</f>
        <v/>
      </c>
    </row>
    <row r="68">
      <c r="A68" s="3" t="inlineStr">
        <is>
          <t>OBT110125213155-Vienna</t>
        </is>
      </c>
      <c r="B68" s="3" t="inlineStr">
        <is>
          <t>Vienna</t>
        </is>
      </c>
      <c r="C68" s="9" t="n">
        <v>112</v>
      </c>
      <c r="D68" s="3" t="inlineStr">
        <is>
          <t>607</t>
        </is>
      </c>
      <c r="E68" s="10" t="n">
        <v>45668.89716435185</v>
      </c>
      <c r="F68" s="10" t="n">
        <v>45668.89803240741</v>
      </c>
      <c r="G68" s="10" t="n">
        <v>45668.91747685185</v>
      </c>
      <c r="H68" s="10" t="n">
        <v>45668.91747685185</v>
      </c>
      <c r="I68" s="10" t="n">
        <v>45668.91747685185</v>
      </c>
      <c r="J68" s="10" t="n">
        <v>45668.91833333333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IF(AND(ISNUMBER(I68),ISNUMBER(J68)),(J68-I68),"")</f>
        <v/>
      </c>
      <c r="O68" s="11">
        <f>IF(AND(ISNUMBER(E68),ISNUMBER(J68)),(J68-E68),"")</f>
        <v/>
      </c>
    </row>
    <row r="69">
      <c r="A69" s="3" t="inlineStr">
        <is>
          <t>OBT110125215724-Graz</t>
        </is>
      </c>
      <c r="B69" s="3" t="inlineStr">
        <is>
          <t>Graz</t>
        </is>
      </c>
      <c r="C69" s="9" t="n">
        <v>256</v>
      </c>
      <c r="D69" s="3" t="inlineStr">
        <is>
          <t>606</t>
        </is>
      </c>
      <c r="E69" s="10" t="n">
        <v>45668.91486111111</v>
      </c>
      <c r="F69" s="10" t="n">
        <v>45668.91570601852</v>
      </c>
      <c r="G69" s="10" t="n">
        <v>45668.96015046296</v>
      </c>
      <c r="H69" s="10" t="n">
        <v>45668.96015046296</v>
      </c>
      <c r="I69" s="10" t="n">
        <v>45668.96015046296</v>
      </c>
      <c r="J69" s="10" t="n">
        <v>45668.96125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IF(AND(ISNUMBER(I69),ISNUMBER(J69)),(J69-I69),"")</f>
        <v/>
      </c>
      <c r="O69" s="11">
        <f>IF(AND(ISNUMBER(E69),ISNUMBER(J69)),(J69-E69),"")</f>
        <v/>
      </c>
    </row>
    <row r="70">
      <c r="A70" s="3" t="inlineStr">
        <is>
          <t>OBT120125000412-Salzburg</t>
        </is>
      </c>
      <c r="B70" s="3" t="inlineStr">
        <is>
          <t>Salzburg</t>
        </is>
      </c>
      <c r="C70" s="9" t="n">
        <v>128</v>
      </c>
      <c r="D70" s="3" t="inlineStr">
        <is>
          <t>627</t>
        </is>
      </c>
      <c r="E70" s="10" t="n">
        <v>45669.00291666666</v>
      </c>
      <c r="F70" s="10" t="n">
        <v>45669.00376157407</v>
      </c>
      <c r="G70" s="10" t="n">
        <v>45669.02598379629</v>
      </c>
      <c r="H70" s="10" t="n">
        <v>45669.02598379629</v>
      </c>
      <c r="I70" s="10" t="n">
        <v>45669.02598379629</v>
      </c>
      <c r="J70" s="10" t="n">
        <v>45669.02666666666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IF(AND(ISNUMBER(I70),ISNUMBER(J70)),(J70-I70),"")</f>
        <v/>
      </c>
      <c r="O70" s="11">
        <f>IF(AND(ISNUMBER(E70),ISNUMBER(J70)),(J70-E70),"")</f>
        <v/>
      </c>
    </row>
    <row r="71">
      <c r="A71" s="3" t="inlineStr">
        <is>
          <t>OBT120125083654-Innsbruck</t>
        </is>
      </c>
      <c r="B71" s="3" t="inlineStr">
        <is>
          <t>Innsbruck</t>
        </is>
      </c>
      <c r="C71" s="9" t="n">
        <v>144</v>
      </c>
      <c r="D71" s="3" t="inlineStr">
        <is>
          <t>615</t>
        </is>
      </c>
      <c r="E71" s="10" t="n">
        <v>45669.35895833333</v>
      </c>
      <c r="F71" s="10" t="n">
        <v>45669.35979166667</v>
      </c>
      <c r="G71" s="10" t="n">
        <v>45669.38479166666</v>
      </c>
      <c r="H71" s="10" t="n">
        <v>45669.38479166666</v>
      </c>
      <c r="I71" s="10" t="n">
        <v>45669.38479166666</v>
      </c>
      <c r="J71" s="10" t="n">
        <v>45669.38559027778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IF(AND(ISNUMBER(I71),ISNUMBER(J71)),(J71-I71),"")</f>
        <v/>
      </c>
      <c r="O71" s="11">
        <f>IF(AND(ISNUMBER(E71),ISNUMBER(J71)),(J71-E71),"")</f>
        <v/>
      </c>
    </row>
    <row r="72">
      <c r="A72" s="3" t="inlineStr">
        <is>
          <t>OBT120125084207-Klagenfurt</t>
        </is>
      </c>
      <c r="B72" s="3" t="inlineStr">
        <is>
          <t>Klagenfurt</t>
        </is>
      </c>
      <c r="C72" s="9" t="n">
        <v>160</v>
      </c>
      <c r="D72" s="3" t="inlineStr">
        <is>
          <t>619</t>
        </is>
      </c>
      <c r="E72" s="10" t="n">
        <v>45669.36258101852</v>
      </c>
      <c r="F72" s="10" t="n">
        <v>45669.36344907407</v>
      </c>
      <c r="G72" s="10" t="n">
        <v>45669.39122685185</v>
      </c>
      <c r="H72" s="10" t="n">
        <v>45669.39122685185</v>
      </c>
      <c r="I72" s="10" t="n">
        <v>45669.39122685185</v>
      </c>
      <c r="J72" s="10" t="n">
        <v>45669.39215277778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IF(AND(ISNUMBER(I72),ISNUMBER(J72)),(J72-I72),"")</f>
        <v/>
      </c>
      <c r="O72" s="11">
        <f>IF(AND(ISNUMBER(E72),ISNUMBER(J72)),(J72-E72),"")</f>
        <v/>
      </c>
    </row>
    <row r="73">
      <c r="A73" s="3" t="inlineStr">
        <is>
          <t>OBT120125095853-Linz</t>
        </is>
      </c>
      <c r="B73" s="3" t="inlineStr">
        <is>
          <t>Linz</t>
        </is>
      </c>
      <c r="C73" s="9" t="n">
        <v>128</v>
      </c>
      <c r="D73" s="3" t="inlineStr">
        <is>
          <t>609</t>
        </is>
      </c>
      <c r="E73" s="10" t="n">
        <v>45669.4158912037</v>
      </c>
      <c r="F73" s="10" t="n">
        <v>45669.41667824074</v>
      </c>
      <c r="G73" s="10" t="n">
        <v>45669.43890046296</v>
      </c>
      <c r="H73" s="10" t="n">
        <v>45669.43890046296</v>
      </c>
      <c r="I73" s="10" t="n">
        <v>45669.43890046296</v>
      </c>
      <c r="J73" s="10" t="n">
        <v>45669.43973379629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IF(AND(ISNUMBER(I73),ISNUMBER(J73)),(J73-I73),"")</f>
        <v/>
      </c>
      <c r="O73" s="11">
        <f>IF(AND(ISNUMBER(E73),ISNUMBER(J73)),(J73-E73),"")</f>
        <v/>
      </c>
    </row>
    <row r="74">
      <c r="A74" s="3" t="inlineStr">
        <is>
          <t>OBT120125104405-Budapest</t>
        </is>
      </c>
      <c r="B74" s="3" t="inlineStr">
        <is>
          <t>Budapest</t>
        </is>
      </c>
      <c r="C74" s="9" t="n">
        <v>128</v>
      </c>
      <c r="D74" s="3" t="inlineStr">
        <is>
          <t>623</t>
        </is>
      </c>
      <c r="E74" s="10" t="n">
        <v>45669.44728009259</v>
      </c>
      <c r="F74" s="10" t="n">
        <v>45669.4480787037</v>
      </c>
      <c r="G74" s="10" t="n">
        <v>45669.47030092592</v>
      </c>
      <c r="H74" s="10" t="n">
        <v>45669.47030092592</v>
      </c>
      <c r="I74" s="10" t="n">
        <v>45669.47030092592</v>
      </c>
      <c r="J74" s="10" t="n">
        <v>45669.47113425926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IF(AND(ISNUMBER(I74),ISNUMBER(J74)),(J74-I74),"")</f>
        <v/>
      </c>
      <c r="O74" s="11">
        <f>IF(AND(ISNUMBER(E74),ISNUMBER(J74)),(J74-E74),"")</f>
        <v/>
      </c>
    </row>
    <row r="75">
      <c r="A75" s="3" t="inlineStr">
        <is>
          <t>OBT120125113345-Salzburg</t>
        </is>
      </c>
      <c r="B75" s="3" t="inlineStr">
        <is>
          <t>Salzburg</t>
        </is>
      </c>
      <c r="C75" s="9" t="n">
        <v>144</v>
      </c>
      <c r="D75" s="3" t="inlineStr">
        <is>
          <t>605</t>
        </is>
      </c>
      <c r="E75" s="10" t="n">
        <v>45669.48177083334</v>
      </c>
      <c r="F75" s="10" t="n">
        <v>45669.48261574074</v>
      </c>
      <c r="G75" s="10" t="n">
        <v>45669.50761574074</v>
      </c>
      <c r="H75" s="10" t="n">
        <v>45669.50761574074</v>
      </c>
      <c r="I75" s="10" t="n">
        <v>45669.50761574074</v>
      </c>
      <c r="J75" s="10" t="n">
        <v>45669.50854166667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IF(AND(ISNUMBER(I75),ISNUMBER(J75)),(J75-I75),"")</f>
        <v/>
      </c>
      <c r="O75" s="11">
        <f>IF(AND(ISNUMBER(E75),ISNUMBER(J75)),(J75-E75),"")</f>
        <v/>
      </c>
    </row>
    <row r="76">
      <c r="A76" s="3" t="inlineStr">
        <is>
          <t>OBT120125121725-Ljubljana</t>
        </is>
      </c>
      <c r="B76" s="3" t="inlineStr">
        <is>
          <t>Ljubljana</t>
        </is>
      </c>
      <c r="C76" s="9" t="n">
        <v>144</v>
      </c>
      <c r="D76" s="3" t="inlineStr">
        <is>
          <t>613</t>
        </is>
      </c>
      <c r="E76" s="10" t="n">
        <v>45669.5120949074</v>
      </c>
      <c r="F76" s="10" t="n">
        <v>45669.51293981481</v>
      </c>
      <c r="G76" s="10" t="n">
        <v>45669.53793981481</v>
      </c>
      <c r="H76" s="10" t="n">
        <v>45669.53793981481</v>
      </c>
      <c r="I76" s="10" t="n">
        <v>45669.53793981481</v>
      </c>
      <c r="J76" s="10" t="n">
        <v>45669.53870370371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IF(AND(ISNUMBER(I76),ISNUMBER(J76)),(J76-I76),"")</f>
        <v/>
      </c>
      <c r="O76" s="11">
        <f>IF(AND(ISNUMBER(E76),ISNUMBER(J76)),(J76-E76),"")</f>
        <v/>
      </c>
    </row>
    <row r="77">
      <c r="A77" s="3" t="inlineStr">
        <is>
          <t>OBT120125162654-Ljubljana</t>
        </is>
      </c>
      <c r="B77" s="3" t="inlineStr">
        <is>
          <t>Ljubljana</t>
        </is>
      </c>
      <c r="C77" s="9" t="n">
        <v>112</v>
      </c>
      <c r="D77" s="3" t="inlineStr">
        <is>
          <t>619</t>
        </is>
      </c>
      <c r="E77" s="10" t="n">
        <v>45669.68534722222</v>
      </c>
      <c r="F77" s="10" t="n">
        <v>45669.68621527778</v>
      </c>
      <c r="G77" s="10" t="n">
        <v>45669.70565972223</v>
      </c>
      <c r="H77" s="10" t="n">
        <v>45669.70565972223</v>
      </c>
      <c r="I77" s="10" t="n">
        <v>45669.70565972223</v>
      </c>
      <c r="J77" s="10" t="n">
        <v>45669.70646990741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IF(AND(ISNUMBER(I77),ISNUMBER(J77)),(J77-I77),"")</f>
        <v/>
      </c>
      <c r="O77" s="11">
        <f>IF(AND(ISNUMBER(E77),ISNUMBER(J77)),(J77-E77),"")</f>
        <v/>
      </c>
    </row>
    <row r="78">
      <c r="A78" s="3" t="inlineStr">
        <is>
          <t>OBT120125194018-Vienna</t>
        </is>
      </c>
      <c r="B78" s="3" t="inlineStr">
        <is>
          <t>Vienna</t>
        </is>
      </c>
      <c r="C78" s="9" t="n">
        <v>192</v>
      </c>
      <c r="D78" s="3" t="inlineStr">
        <is>
          <t>625</t>
        </is>
      </c>
      <c r="E78" s="10" t="n">
        <v>45669.81965277778</v>
      </c>
      <c r="F78" s="10" t="n">
        <v>45669.82052083333</v>
      </c>
      <c r="G78" s="10" t="n">
        <v>45669.85385416666</v>
      </c>
      <c r="H78" s="10" t="n">
        <v>45669.85385416666</v>
      </c>
      <c r="I78" s="10" t="n">
        <v>45669.85385416666</v>
      </c>
      <c r="J78" s="10" t="n">
        <v>45669.85479166666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IF(AND(ISNUMBER(I78),ISNUMBER(J78)),(J78-I78),"")</f>
        <v/>
      </c>
      <c r="O78" s="11">
        <f>IF(AND(ISNUMBER(E78),ISNUMBER(J78)),(J78-E78),"")</f>
        <v/>
      </c>
    </row>
    <row r="79">
      <c r="A79" s="3" t="inlineStr">
        <is>
          <t>OBT120125230501-Budapest</t>
        </is>
      </c>
      <c r="B79" s="3" t="inlineStr">
        <is>
          <t>Budapest</t>
        </is>
      </c>
      <c r="C79" s="9" t="n">
        <v>304</v>
      </c>
      <c r="D79" s="3" t="inlineStr">
        <is>
          <t>613</t>
        </is>
      </c>
      <c r="E79" s="10" t="n">
        <v>45669.96181712963</v>
      </c>
      <c r="F79" s="10" t="n">
        <v>45669.96267361111</v>
      </c>
      <c r="G79" s="10" t="n">
        <v>45670.01545138889</v>
      </c>
      <c r="H79" s="10" t="n">
        <v>45670.01545138889</v>
      </c>
      <c r="I79" s="10" t="n">
        <v>45670.01545138889</v>
      </c>
      <c r="J79" s="10" t="n">
        <v>45670.01657407408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IF(AND(ISNUMBER(I79),ISNUMBER(J79)),(J79-I79),"")</f>
        <v/>
      </c>
      <c r="O79" s="11">
        <f>IF(AND(ISNUMBER(E79),ISNUMBER(J79)),(J79-E79),"")</f>
        <v/>
      </c>
    </row>
  </sheetData>
  <autoFilter ref="A1:O7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Activity Type</t>
        </is>
      </c>
      <c r="B1" s="1" t="inlineStr">
        <is>
          <t>From</t>
        </is>
      </c>
      <c r="C1" s="1" t="inlineStr">
        <is>
          <t>To</t>
        </is>
      </c>
      <c r="D1" s="1" t="inlineStr">
        <is>
          <t>Count</t>
        </is>
      </c>
      <c r="E1" s="1" t="inlineStr">
        <is>
          <t>Mean Dist (m)</t>
        </is>
      </c>
      <c r="F1" s="1" t="inlineStr">
        <is>
          <t>Min Dist (m)</t>
        </is>
      </c>
      <c r="G1" s="1" t="inlineStr">
        <is>
          <t>Max Dist (m)</t>
        </is>
      </c>
      <c r="H1" s="1" t="inlineStr">
        <is>
          <t>Mean Duration (hh:mm:ss)</t>
        </is>
      </c>
      <c r="I1" s="1" t="inlineStr">
        <is>
          <t>Min Duration (hh:mm:ss)</t>
        </is>
      </c>
      <c r="J1" s="1" t="inlineStr">
        <is>
          <t>Max Duration (hh:mm:ss)</t>
        </is>
      </c>
      <c r="K1" s="1" t="inlineStr">
        <is>
          <t>Mean Speed (km/h)</t>
        </is>
      </c>
      <c r="L1" s="1" t="inlineStr">
        <is>
          <t>Min Speed (km/h)</t>
        </is>
      </c>
      <c r="M1" s="1" t="inlineStr">
        <is>
          <t>Max Speed (km/h)</t>
        </is>
      </c>
      <c r="N1" s="1" t="inlineStr">
        <is>
          <t>Speed Std (km/h)</t>
        </is>
      </c>
    </row>
    <row r="2">
      <c r="A2" s="3" t="inlineStr">
        <is>
          <t>ArrivalDrive</t>
        </is>
      </c>
      <c r="B2" s="3" t="inlineStr">
        <is>
          <t>Entry gate</t>
        </is>
      </c>
      <c r="C2" s="3" t="inlineStr">
        <is>
          <t>703</t>
        </is>
      </c>
      <c r="D2" s="13" t="n">
        <v>55</v>
      </c>
      <c r="E2" s="14" t="n">
        <v>766.25</v>
      </c>
      <c r="F2" s="14" t="n">
        <v>766.25</v>
      </c>
      <c r="G2" s="14" t="n">
        <v>766.25</v>
      </c>
      <c r="H2" s="11" t="n">
        <v>0.001962752525252525</v>
      </c>
      <c r="I2" s="11" t="n">
        <v>0.001770833333333333</v>
      </c>
      <c r="J2" s="11" t="n">
        <v>0.002291666666666667</v>
      </c>
      <c r="K2" s="9" t="n">
        <v>16.32459464334286</v>
      </c>
      <c r="L2" s="9" t="n">
        <v>13.93181818181818</v>
      </c>
      <c r="M2" s="9" t="n">
        <v>18.02941176470588</v>
      </c>
      <c r="N2" s="9" t="n">
        <v>0.9620013298125417</v>
      </c>
    </row>
    <row r="3">
      <c r="A3" s="3" t="inlineStr">
        <is>
          <t>ArrivalDrive</t>
        </is>
      </c>
      <c r="B3" s="3" t="inlineStr">
        <is>
          <t>Entry gate</t>
        </is>
      </c>
      <c r="C3" s="3" t="inlineStr">
        <is>
          <t>723</t>
        </is>
      </c>
      <c r="D3" s="13" t="n">
        <v>1</v>
      </c>
      <c r="E3" s="14" t="n">
        <v>435.33</v>
      </c>
      <c r="F3" s="14" t="n">
        <v>435.33</v>
      </c>
      <c r="G3" s="14" t="n">
        <v>435.33</v>
      </c>
      <c r="H3" s="11" t="n">
        <v>0.001122685185185185</v>
      </c>
      <c r="I3" s="11" t="n">
        <v>0.001122685185185185</v>
      </c>
      <c r="J3" s="11" t="n">
        <v>0.001122685185185185</v>
      </c>
      <c r="K3" s="9" t="n">
        <v>16.15657731958763</v>
      </c>
      <c r="L3" s="9" t="n">
        <v>16.15657731958763</v>
      </c>
      <c r="M3" s="9" t="n">
        <v>16.15657731958763</v>
      </c>
      <c r="N3" s="9" t="n">
        <v>0</v>
      </c>
    </row>
    <row r="4">
      <c r="A4" s="3" t="inlineStr">
        <is>
          <t>ArrivalDrive</t>
        </is>
      </c>
      <c r="B4" s="3" t="inlineStr">
        <is>
          <t>Entry gate</t>
        </is>
      </c>
      <c r="C4" s="3" t="inlineStr">
        <is>
          <t>725</t>
        </is>
      </c>
      <c r="D4" s="13" t="n">
        <v>1</v>
      </c>
      <c r="E4" s="14" t="n">
        <v>476.05</v>
      </c>
      <c r="F4" s="14" t="n">
        <v>476.05</v>
      </c>
      <c r="G4" s="14" t="n">
        <v>476.05</v>
      </c>
      <c r="H4" s="11" t="n">
        <v>0.001319444444444444</v>
      </c>
      <c r="I4" s="11" t="n">
        <v>0.001319444444444444</v>
      </c>
      <c r="J4" s="11" t="n">
        <v>0.001319444444444444</v>
      </c>
      <c r="K4" s="9" t="n">
        <v>15.03315789473684</v>
      </c>
      <c r="L4" s="9" t="n">
        <v>15.03315789473684</v>
      </c>
      <c r="M4" s="9" t="n">
        <v>15.03315789473684</v>
      </c>
      <c r="N4" s="9" t="n">
        <v>0</v>
      </c>
    </row>
    <row r="5">
      <c r="A5" s="3" t="inlineStr">
        <is>
          <t>ArrivalDrive</t>
        </is>
      </c>
      <c r="B5" s="3" t="inlineStr">
        <is>
          <t>Entry gate</t>
        </is>
      </c>
      <c r="C5" s="3" t="inlineStr">
        <is>
          <t>727</t>
        </is>
      </c>
      <c r="D5" s="13" t="n">
        <v>18</v>
      </c>
      <c r="E5" s="14" t="n">
        <v>556.2</v>
      </c>
      <c r="F5" s="14" t="n">
        <v>556.2</v>
      </c>
      <c r="G5" s="14" t="n">
        <v>556.2</v>
      </c>
      <c r="H5" s="11" t="n">
        <v>0.001554140946502058</v>
      </c>
      <c r="I5" s="11" t="n">
        <v>0.001377314814814815</v>
      </c>
      <c r="J5" s="11" t="n">
        <v>0.001782407407407407</v>
      </c>
      <c r="K5" s="9" t="n">
        <v>14.97708467502325</v>
      </c>
      <c r="L5" s="9" t="n">
        <v>13.00207792207792</v>
      </c>
      <c r="M5" s="9" t="n">
        <v>16.82621848739496</v>
      </c>
      <c r="N5" s="9" t="n">
        <v>0.987142341129054</v>
      </c>
    </row>
    <row r="6">
      <c r="A6" s="3" t="inlineStr">
        <is>
          <t>ArrivalDrive</t>
        </is>
      </c>
      <c r="B6" s="3" t="inlineStr">
        <is>
          <t>Entry gate</t>
        </is>
      </c>
      <c r="C6" s="3" t="inlineStr">
        <is>
          <t>731</t>
        </is>
      </c>
      <c r="D6" s="13" t="n">
        <v>2</v>
      </c>
      <c r="E6" s="14" t="n">
        <v>587.14</v>
      </c>
      <c r="F6" s="14" t="n">
        <v>587.14</v>
      </c>
      <c r="G6" s="14" t="n">
        <v>587.14</v>
      </c>
      <c r="H6" s="11" t="n">
        <v>0.001365740740740741</v>
      </c>
      <c r="I6" s="11" t="n">
        <v>0.001365740740740741</v>
      </c>
      <c r="J6" s="11" t="n">
        <v>0.001365740740740741</v>
      </c>
      <c r="K6" s="9" t="n">
        <v>17.91274576271186</v>
      </c>
      <c r="L6" s="9" t="n">
        <v>17.91274576271186</v>
      </c>
      <c r="M6" s="9" t="n">
        <v>17.91274576271186</v>
      </c>
      <c r="N6" s="9" t="n">
        <v>0</v>
      </c>
    </row>
    <row r="7">
      <c r="A7" s="3" t="inlineStr">
        <is>
          <t>DepartureDrive</t>
        </is>
      </c>
      <c r="B7" s="3" t="inlineStr">
        <is>
          <t>605</t>
        </is>
      </c>
      <c r="C7" s="3" t="inlineStr">
        <is>
          <t>Exit gate</t>
        </is>
      </c>
      <c r="D7" s="13" t="n">
        <v>9</v>
      </c>
      <c r="E7" s="14" t="n">
        <v>286.14</v>
      </c>
      <c r="F7" s="14" t="n">
        <v>286.14</v>
      </c>
      <c r="G7" s="14" t="n">
        <v>286.14</v>
      </c>
      <c r="H7" s="11" t="n">
        <v>0.0009966563786008231</v>
      </c>
      <c r="I7" s="11" t="n">
        <v>0.0008912037037037037</v>
      </c>
      <c r="J7" s="11" t="n">
        <v>0.001145833333333333</v>
      </c>
      <c r="K7" s="9" t="n">
        <v>12.04451449132739</v>
      </c>
      <c r="L7" s="9" t="n">
        <v>10.40509090909091</v>
      </c>
      <c r="M7" s="9" t="n">
        <v>13.37797402597402</v>
      </c>
      <c r="N7" s="9" t="n">
        <v>0.9724796815842667</v>
      </c>
    </row>
    <row r="8">
      <c r="A8" s="3" t="inlineStr">
        <is>
          <t>DepartureDrive</t>
        </is>
      </c>
      <c r="B8" s="3" t="inlineStr">
        <is>
          <t>606</t>
        </is>
      </c>
      <c r="C8" s="3" t="inlineStr">
        <is>
          <t>Exit gate</t>
        </is>
      </c>
      <c r="D8" s="13" t="n">
        <v>4</v>
      </c>
      <c r="E8" s="14" t="n">
        <v>245</v>
      </c>
      <c r="F8" s="14" t="n">
        <v>245</v>
      </c>
      <c r="G8" s="14" t="n">
        <v>245</v>
      </c>
      <c r="H8" s="11" t="n">
        <v>0.0009056712962962963</v>
      </c>
      <c r="I8" s="11" t="n">
        <v>0.0007986111111111112</v>
      </c>
      <c r="J8" s="11" t="n">
        <v>0.001099537037037037</v>
      </c>
      <c r="K8" s="9" t="n">
        <v>11.43856854017115</v>
      </c>
      <c r="L8" s="9" t="n">
        <v>9.284210526315789</v>
      </c>
      <c r="M8" s="9" t="n">
        <v>12.78260869565217</v>
      </c>
      <c r="N8" s="9" t="n">
        <v>1.312415746142593</v>
      </c>
    </row>
    <row r="9">
      <c r="A9" s="3" t="inlineStr">
        <is>
          <t>DepartureDrive</t>
        </is>
      </c>
      <c r="B9" s="3" t="inlineStr">
        <is>
          <t>607</t>
        </is>
      </c>
      <c r="C9" s="3" t="inlineStr">
        <is>
          <t>Exit gate</t>
        </is>
      </c>
      <c r="D9" s="13" t="n">
        <v>5</v>
      </c>
      <c r="E9" s="14" t="n">
        <v>286.14</v>
      </c>
      <c r="F9" s="14" t="n">
        <v>286.14</v>
      </c>
      <c r="G9" s="14" t="n">
        <v>286.14</v>
      </c>
      <c r="H9" s="11" t="n">
        <v>0.0009189814814814816</v>
      </c>
      <c r="I9" s="11" t="n">
        <v>0.0008449074074074074</v>
      </c>
      <c r="J9" s="11" t="n">
        <v>0.001006944444444444</v>
      </c>
      <c r="K9" s="9" t="n">
        <v>13.04550827987391</v>
      </c>
      <c r="L9" s="9" t="n">
        <v>11.84027586206897</v>
      </c>
      <c r="M9" s="9" t="n">
        <v>14.11101369863014</v>
      </c>
      <c r="N9" s="9" t="n">
        <v>0.9595203796838393</v>
      </c>
    </row>
    <row r="10">
      <c r="A10" s="3" t="inlineStr">
        <is>
          <t>DepartureDrive</t>
        </is>
      </c>
      <c r="B10" s="3" t="inlineStr">
        <is>
          <t>609</t>
        </is>
      </c>
      <c r="C10" s="3" t="inlineStr">
        <is>
          <t>Exit gate</t>
        </is>
      </c>
      <c r="D10" s="13" t="n">
        <v>2</v>
      </c>
      <c r="E10" s="14" t="n">
        <v>259.16</v>
      </c>
      <c r="F10" s="14" t="n">
        <v>259.16</v>
      </c>
      <c r="G10" s="14" t="n">
        <v>259.16</v>
      </c>
      <c r="H10" s="11" t="n">
        <v>0.0008333333333333334</v>
      </c>
      <c r="I10" s="11" t="n">
        <v>0.0008333333333333334</v>
      </c>
      <c r="J10" s="11" t="n">
        <v>0.0008333333333333334</v>
      </c>
      <c r="K10" s="9" t="n">
        <v>12.958</v>
      </c>
      <c r="L10" s="9" t="n">
        <v>12.958</v>
      </c>
      <c r="M10" s="9" t="n">
        <v>12.958</v>
      </c>
      <c r="N10" s="9" t="n">
        <v>0</v>
      </c>
    </row>
    <row r="11">
      <c r="A11" s="3" t="inlineStr">
        <is>
          <t>DepartureDrive</t>
        </is>
      </c>
      <c r="B11" s="3" t="inlineStr">
        <is>
          <t>613</t>
        </is>
      </c>
      <c r="C11" s="3" t="inlineStr">
        <is>
          <t>Exit gate</t>
        </is>
      </c>
      <c r="D11" s="13" t="n">
        <v>12</v>
      </c>
      <c r="E11" s="14" t="n">
        <v>205.9</v>
      </c>
      <c r="F11" s="14" t="n">
        <v>205.9</v>
      </c>
      <c r="G11" s="14" t="n">
        <v>205.9</v>
      </c>
      <c r="H11" s="11" t="n">
        <v>0.0008506944444444444</v>
      </c>
      <c r="I11" s="11" t="n">
        <v>0.0007175925925925926</v>
      </c>
      <c r="J11" s="11" t="n">
        <v>0.001122685185185185</v>
      </c>
      <c r="K11" s="9" t="n">
        <v>10.26991455938492</v>
      </c>
      <c r="L11" s="9" t="n">
        <v>7.641649484536083</v>
      </c>
      <c r="M11" s="9" t="n">
        <v>11.95548387096774</v>
      </c>
      <c r="N11" s="9" t="n">
        <v>1.336585689575824</v>
      </c>
    </row>
    <row r="12">
      <c r="A12" s="3" t="inlineStr">
        <is>
          <t>DepartureDrive</t>
        </is>
      </c>
      <c r="B12" s="3" t="inlineStr">
        <is>
          <t>615</t>
        </is>
      </c>
      <c r="C12" s="3" t="inlineStr">
        <is>
          <t>Exit gate</t>
        </is>
      </c>
      <c r="D12" s="13" t="n">
        <v>18</v>
      </c>
      <c r="E12" s="14" t="n">
        <v>223.61</v>
      </c>
      <c r="F12" s="14" t="n">
        <v>223.61</v>
      </c>
      <c r="G12" s="14" t="n">
        <v>223.61</v>
      </c>
      <c r="H12" s="11" t="n">
        <v>0.0008037551440329218</v>
      </c>
      <c r="I12" s="11" t="n">
        <v>0.0007175925925925926</v>
      </c>
      <c r="J12" s="11" t="n">
        <v>0.001064814814814815</v>
      </c>
      <c r="K12" s="9" t="n">
        <v>11.68847028486898</v>
      </c>
      <c r="L12" s="9" t="n">
        <v>8.749956521739131</v>
      </c>
      <c r="M12" s="9" t="n">
        <v>12.9838064516129</v>
      </c>
      <c r="N12" s="9" t="n">
        <v>0.9943578718420791</v>
      </c>
    </row>
    <row r="13">
      <c r="A13" s="3" t="inlineStr">
        <is>
          <t>DepartureDrive</t>
        </is>
      </c>
      <c r="B13" s="3" t="inlineStr">
        <is>
          <t>619</t>
        </is>
      </c>
      <c r="C13" s="3" t="inlineStr">
        <is>
          <t>Exit gate</t>
        </is>
      </c>
      <c r="D13" s="13" t="n">
        <v>7</v>
      </c>
      <c r="E13" s="14" t="n">
        <v>262.93</v>
      </c>
      <c r="F13" s="14" t="n">
        <v>262.93</v>
      </c>
      <c r="G13" s="14" t="n">
        <v>262.93</v>
      </c>
      <c r="H13" s="11" t="n">
        <v>0.0008878968253968253</v>
      </c>
      <c r="I13" s="11" t="n">
        <v>0.0008101851851851852</v>
      </c>
      <c r="J13" s="11" t="n">
        <v>0.0009606481481481482</v>
      </c>
      <c r="K13" s="9" t="n">
        <v>12.37362088051488</v>
      </c>
      <c r="L13" s="9" t="n">
        <v>11.40419277108434</v>
      </c>
      <c r="M13" s="9" t="n">
        <v>13.52211428571429</v>
      </c>
      <c r="N13" s="9" t="n">
        <v>0.662302977083056</v>
      </c>
    </row>
    <row r="14">
      <c r="A14" s="3" t="inlineStr">
        <is>
          <t>DepartureDrive</t>
        </is>
      </c>
      <c r="B14" s="3" t="inlineStr">
        <is>
          <t>623</t>
        </is>
      </c>
      <c r="C14" s="3" t="inlineStr">
        <is>
          <t>Exit gate</t>
        </is>
      </c>
      <c r="D14" s="13" t="n">
        <v>7</v>
      </c>
      <c r="E14" s="14" t="n">
        <v>259.31</v>
      </c>
      <c r="F14" s="14" t="n">
        <v>259.31</v>
      </c>
      <c r="G14" s="14" t="n">
        <v>259.31</v>
      </c>
      <c r="H14" s="11" t="n">
        <v>0.000882936507936508</v>
      </c>
      <c r="I14" s="11" t="n">
        <v>0.0008333333333333334</v>
      </c>
      <c r="J14" s="11" t="n">
        <v>0.0009490740740740741</v>
      </c>
      <c r="K14" s="9" t="n">
        <v>12.26144840008207</v>
      </c>
      <c r="L14" s="9" t="n">
        <v>11.38434146341463</v>
      </c>
      <c r="M14" s="9" t="n">
        <v>12.9655</v>
      </c>
      <c r="N14" s="9" t="n">
        <v>0.5450305076245624</v>
      </c>
    </row>
    <row r="15">
      <c r="A15" s="3" t="inlineStr">
        <is>
          <t>DepartureDrive</t>
        </is>
      </c>
      <c r="B15" s="3" t="inlineStr">
        <is>
          <t>625</t>
        </is>
      </c>
      <c r="C15" s="3" t="inlineStr">
        <is>
          <t>Exit gate</t>
        </is>
      </c>
      <c r="D15" s="13" t="n">
        <v>9</v>
      </c>
      <c r="E15" s="14" t="n">
        <v>240.31</v>
      </c>
      <c r="F15" s="14" t="n">
        <v>240.31</v>
      </c>
      <c r="G15" s="14" t="n">
        <v>240.31</v>
      </c>
      <c r="H15" s="11" t="n">
        <v>0.0008551954732510288</v>
      </c>
      <c r="I15" s="11" t="n">
        <v>0.0007523148148148148</v>
      </c>
      <c r="J15" s="11" t="n">
        <v>0.0009490740740740741</v>
      </c>
      <c r="K15" s="9" t="n">
        <v>11.80286887645382</v>
      </c>
      <c r="L15" s="9" t="n">
        <v>10.55019512195122</v>
      </c>
      <c r="M15" s="9" t="n">
        <v>13.30947692307692</v>
      </c>
      <c r="N15" s="9" t="n">
        <v>1.066213067499514</v>
      </c>
    </row>
    <row r="16">
      <c r="A16" s="3" t="inlineStr">
        <is>
          <t>DepartureDrive</t>
        </is>
      </c>
      <c r="B16" s="3" t="inlineStr">
        <is>
          <t>627</t>
        </is>
      </c>
      <c r="C16" s="3" t="inlineStr">
        <is>
          <t>Exit gate</t>
        </is>
      </c>
      <c r="D16" s="13" t="n">
        <v>5</v>
      </c>
      <c r="E16" s="14" t="n">
        <v>188.33</v>
      </c>
      <c r="F16" s="14" t="n">
        <v>188.33</v>
      </c>
      <c r="G16" s="14" t="n">
        <v>188.33</v>
      </c>
      <c r="H16" s="11" t="n">
        <v>0.0006805555555555556</v>
      </c>
      <c r="I16" s="11" t="n">
        <v>0.0006481481481481481</v>
      </c>
      <c r="J16" s="11" t="n">
        <v>0.0007291666666666667</v>
      </c>
      <c r="K16" s="9" t="n">
        <v>11.55333869249395</v>
      </c>
      <c r="L16" s="9" t="n">
        <v>10.76171428571429</v>
      </c>
      <c r="M16" s="9" t="n">
        <v>12.10692857142857</v>
      </c>
      <c r="N16" s="9" t="n">
        <v>0.5114138527771537</v>
      </c>
    </row>
    <row r="17">
      <c r="A17" s="3" t="inlineStr">
        <is>
          <t>PushOffDrive</t>
        </is>
      </c>
      <c r="B17" s="3" t="inlineStr">
        <is>
          <t>703</t>
        </is>
      </c>
      <c r="C17" s="3" t="inlineStr">
        <is>
          <t>605</t>
        </is>
      </c>
      <c r="D17" s="13" t="n">
        <v>17</v>
      </c>
      <c r="E17" s="14" t="n">
        <v>405.43</v>
      </c>
      <c r="F17" s="14" t="n">
        <v>405.43</v>
      </c>
      <c r="G17" s="14" t="n">
        <v>405.43</v>
      </c>
      <c r="H17" s="11" t="n">
        <v>0.001857298474945534</v>
      </c>
      <c r="I17" s="11" t="n">
        <v>0.001759259259259259</v>
      </c>
      <c r="J17" s="11" t="n">
        <v>0.002060185185185185</v>
      </c>
      <c r="K17" s="9" t="n">
        <v>9.116900362992133</v>
      </c>
      <c r="L17" s="9" t="n">
        <v>8.19970786516854</v>
      </c>
      <c r="M17" s="9" t="n">
        <v>9.602289473684211</v>
      </c>
      <c r="N17" s="9" t="n">
        <v>0.4324765164312556</v>
      </c>
    </row>
    <row r="18">
      <c r="A18" s="3" t="inlineStr">
        <is>
          <t>PushOffDrive</t>
        </is>
      </c>
      <c r="B18" s="3" t="inlineStr">
        <is>
          <t>703</t>
        </is>
      </c>
      <c r="C18" s="3" t="inlineStr">
        <is>
          <t>606</t>
        </is>
      </c>
      <c r="D18" s="13" t="n">
        <v>7</v>
      </c>
      <c r="E18" s="14" t="n">
        <v>405.03</v>
      </c>
      <c r="F18" s="14" t="n">
        <v>405.03</v>
      </c>
      <c r="G18" s="14" t="n">
        <v>405.03</v>
      </c>
      <c r="H18" s="11" t="n">
        <v>0.001841931216931217</v>
      </c>
      <c r="I18" s="11" t="n">
        <v>0.001759259259259259</v>
      </c>
      <c r="J18" s="11" t="n">
        <v>0.002060185185185185</v>
      </c>
      <c r="K18" s="9" t="n">
        <v>9.187350207516932</v>
      </c>
      <c r="L18" s="9" t="n">
        <v>8.19161797752809</v>
      </c>
      <c r="M18" s="9" t="n">
        <v>9.592815789473685</v>
      </c>
      <c r="N18" s="9" t="n">
        <v>0.4652448906749521</v>
      </c>
    </row>
    <row r="19">
      <c r="A19" s="3" t="inlineStr">
        <is>
          <t>PushOffDrive</t>
        </is>
      </c>
      <c r="B19" s="3" t="inlineStr">
        <is>
          <t>703</t>
        </is>
      </c>
      <c r="C19" s="3" t="inlineStr">
        <is>
          <t>607</t>
        </is>
      </c>
      <c r="D19" s="13" t="n">
        <v>5</v>
      </c>
      <c r="E19" s="14" t="n">
        <v>378.4</v>
      </c>
      <c r="F19" s="14" t="n">
        <v>378.4</v>
      </c>
      <c r="G19" s="14" t="n">
        <v>378.4</v>
      </c>
      <c r="H19" s="11" t="n">
        <v>0.001752314814814815</v>
      </c>
      <c r="I19" s="11" t="n">
        <v>0.001678240740740741</v>
      </c>
      <c r="J19" s="11" t="n">
        <v>0.001875</v>
      </c>
      <c r="K19" s="9" t="n">
        <v>9.010170688775476</v>
      </c>
      <c r="L19" s="9" t="n">
        <v>8.408888888888889</v>
      </c>
      <c r="M19" s="9" t="n">
        <v>9.394758620689656</v>
      </c>
      <c r="N19" s="9" t="n">
        <v>0.330698263424474</v>
      </c>
    </row>
    <row r="20">
      <c r="A20" s="3" t="inlineStr">
        <is>
          <t>PushOffDrive</t>
        </is>
      </c>
      <c r="B20" s="3" t="inlineStr">
        <is>
          <t>703</t>
        </is>
      </c>
      <c r="C20" s="3" t="inlineStr">
        <is>
          <t>609</t>
        </is>
      </c>
      <c r="D20" s="13" t="n">
        <v>4</v>
      </c>
      <c r="E20" s="14" t="n">
        <v>350.87</v>
      </c>
      <c r="F20" s="14" t="n">
        <v>350.87</v>
      </c>
      <c r="G20" s="14" t="n">
        <v>350.87</v>
      </c>
      <c r="H20" s="11" t="n">
        <v>0.001614583333333333</v>
      </c>
      <c r="I20" s="11" t="n">
        <v>0.001574074074074074</v>
      </c>
      <c r="J20" s="11" t="n">
        <v>0.001655092592592593</v>
      </c>
      <c r="K20" s="9" t="n">
        <v>9.060413101604279</v>
      </c>
      <c r="L20" s="9" t="n">
        <v>8.83309090909091</v>
      </c>
      <c r="M20" s="9" t="n">
        <v>9.287735294117647</v>
      </c>
      <c r="N20" s="9" t="n">
        <v>0.2273221925133688</v>
      </c>
    </row>
    <row r="21">
      <c r="A21" s="3" t="inlineStr">
        <is>
          <t>PushOffDrive</t>
        </is>
      </c>
      <c r="B21" s="3" t="inlineStr">
        <is>
          <t>703</t>
        </is>
      </c>
      <c r="C21" s="3" t="inlineStr">
        <is>
          <t>613</t>
        </is>
      </c>
      <c r="D21" s="13" t="n">
        <v>20</v>
      </c>
      <c r="E21" s="14" t="n">
        <v>297.43</v>
      </c>
      <c r="F21" s="14" t="n">
        <v>297.43</v>
      </c>
      <c r="G21" s="14" t="n">
        <v>297.43</v>
      </c>
      <c r="H21" s="11" t="n">
        <v>0.00140625</v>
      </c>
      <c r="I21" s="11" t="n">
        <v>0.00130787037037037</v>
      </c>
      <c r="J21" s="11" t="n">
        <v>0.001759259259259259</v>
      </c>
      <c r="K21" s="9" t="n">
        <v>8.885492618409787</v>
      </c>
      <c r="L21" s="9" t="n">
        <v>7.044394736842106</v>
      </c>
      <c r="M21" s="9" t="n">
        <v>9.475646017699116</v>
      </c>
      <c r="N21" s="9" t="n">
        <v>0.748863925306978</v>
      </c>
    </row>
    <row r="22">
      <c r="A22" s="3" t="inlineStr">
        <is>
          <t>PushOffDrive</t>
        </is>
      </c>
      <c r="B22" s="3" t="inlineStr">
        <is>
          <t>703</t>
        </is>
      </c>
      <c r="C22" s="3" t="inlineStr">
        <is>
          <t>615</t>
        </is>
      </c>
      <c r="D22" s="13" t="n">
        <v>23</v>
      </c>
      <c r="E22" s="14" t="n">
        <v>269.92</v>
      </c>
      <c r="F22" s="14" t="n">
        <v>269.92</v>
      </c>
      <c r="G22" s="14" t="n">
        <v>269.92</v>
      </c>
      <c r="H22" s="11" t="n">
        <v>0.001315418679549114</v>
      </c>
      <c r="I22" s="11" t="n">
        <v>0.001203703703703704</v>
      </c>
      <c r="J22" s="11" t="n">
        <v>0.001712962962962963</v>
      </c>
      <c r="K22" s="9" t="n">
        <v>8.612621638511831</v>
      </c>
      <c r="L22" s="9" t="n">
        <v>6.565621621621622</v>
      </c>
      <c r="M22" s="9" t="n">
        <v>9.343384615384617</v>
      </c>
      <c r="N22" s="9" t="n">
        <v>0.6956664750106234</v>
      </c>
    </row>
    <row r="23">
      <c r="A23" s="3" t="inlineStr">
        <is>
          <t>PushOffDrive</t>
        </is>
      </c>
      <c r="B23" s="3" t="inlineStr">
        <is>
          <t>703</t>
        </is>
      </c>
      <c r="C23" s="3" t="inlineStr">
        <is>
          <t>619</t>
        </is>
      </c>
      <c r="D23" s="13" t="n">
        <v>12</v>
      </c>
      <c r="E23" s="14" t="n">
        <v>459.96</v>
      </c>
      <c r="F23" s="14" t="n">
        <v>459.96</v>
      </c>
      <c r="G23" s="14" t="n">
        <v>459.96</v>
      </c>
      <c r="H23" s="11" t="n">
        <v>0.002054398148148148</v>
      </c>
      <c r="I23" s="11" t="n">
        <v>0.001990740740740741</v>
      </c>
      <c r="J23" s="11" t="n">
        <v>0.002175925925925926</v>
      </c>
      <c r="K23" s="9" t="n">
        <v>9.336115523068894</v>
      </c>
      <c r="L23" s="9" t="n">
        <v>8.807744680851064</v>
      </c>
      <c r="M23" s="9" t="n">
        <v>9.627069767441862</v>
      </c>
      <c r="N23" s="9" t="n">
        <v>0.259690283900137</v>
      </c>
    </row>
    <row r="24">
      <c r="A24" s="3" t="inlineStr">
        <is>
          <t>PushOffDrive</t>
        </is>
      </c>
      <c r="B24" s="3" t="inlineStr">
        <is>
          <t>703</t>
        </is>
      </c>
      <c r="C24" s="3" t="inlineStr">
        <is>
          <t>623</t>
        </is>
      </c>
      <c r="D24" s="13" t="n">
        <v>12</v>
      </c>
      <c r="E24" s="14" t="n">
        <v>412.05</v>
      </c>
      <c r="F24" s="14" t="n">
        <v>412.05</v>
      </c>
      <c r="G24" s="14" t="n">
        <v>412.05</v>
      </c>
      <c r="H24" s="11" t="n">
        <v>0.001878858024691358</v>
      </c>
      <c r="I24" s="11" t="n">
        <v>0.001793981481481481</v>
      </c>
      <c r="J24" s="11" t="n">
        <v>0.002094907407407407</v>
      </c>
      <c r="K24" s="9" t="n">
        <v>9.16593969399759</v>
      </c>
      <c r="L24" s="9" t="n">
        <v>8.195469613259668</v>
      </c>
      <c r="M24" s="9" t="n">
        <v>9.570193548387097</v>
      </c>
      <c r="N24" s="9" t="n">
        <v>0.4926149496253396</v>
      </c>
    </row>
    <row r="25">
      <c r="A25" s="3" t="inlineStr">
        <is>
          <t>PushOffDrive</t>
        </is>
      </c>
      <c r="B25" s="3" t="inlineStr">
        <is>
          <t>703</t>
        </is>
      </c>
      <c r="C25" s="3" t="inlineStr">
        <is>
          <t>625</t>
        </is>
      </c>
      <c r="D25" s="13" t="n">
        <v>13</v>
      </c>
      <c r="E25" s="14" t="n">
        <v>477.75</v>
      </c>
      <c r="F25" s="14" t="n">
        <v>477.75</v>
      </c>
      <c r="G25" s="14" t="n">
        <v>477.75</v>
      </c>
      <c r="H25" s="11" t="n">
        <v>0.002163461538461539</v>
      </c>
      <c r="I25" s="11" t="n">
        <v>0.002060185185185185</v>
      </c>
      <c r="J25" s="11" t="n">
        <v>0.002326388888888889</v>
      </c>
      <c r="K25" s="9" t="n">
        <v>9.217687919521484</v>
      </c>
      <c r="L25" s="9" t="n">
        <v>8.556716417910447</v>
      </c>
      <c r="M25" s="9" t="n">
        <v>9.662359550561799</v>
      </c>
      <c r="N25" s="9" t="n">
        <v>0.3886970131009914</v>
      </c>
    </row>
    <row r="26">
      <c r="A26" s="3" t="inlineStr">
        <is>
          <t>PushOffDrive</t>
        </is>
      </c>
      <c r="B26" s="3" t="inlineStr">
        <is>
          <t>703</t>
        </is>
      </c>
      <c r="C26" s="3" t="inlineStr">
        <is>
          <t>627</t>
        </is>
      </c>
      <c r="D26" s="13" t="n">
        <v>10</v>
      </c>
      <c r="E26" s="14" t="n">
        <v>450.42</v>
      </c>
      <c r="F26" s="14" t="n">
        <v>450.42</v>
      </c>
      <c r="G26" s="14" t="n">
        <v>450.42</v>
      </c>
      <c r="H26" s="11" t="n">
        <v>0.002020833333333333</v>
      </c>
      <c r="I26" s="11" t="n">
        <v>0.001944444444444444</v>
      </c>
      <c r="J26" s="11" t="n">
        <v>0.002175925925925926</v>
      </c>
      <c r="K26" s="9" t="n">
        <v>9.299367577620558</v>
      </c>
      <c r="L26" s="9" t="n">
        <v>8.625063829787234</v>
      </c>
      <c r="M26" s="9" t="n">
        <v>9.651857142857143</v>
      </c>
      <c r="N26" s="9" t="n">
        <v>0.3337235679412059</v>
      </c>
    </row>
    <row r="27">
      <c r="A27" s="3" t="inlineStr">
        <is>
          <t>PushOffDrive</t>
        </is>
      </c>
      <c r="B27" s="3" t="inlineStr">
        <is>
          <t>723</t>
        </is>
      </c>
      <c r="C27" s="3" t="inlineStr">
        <is>
          <t>619</t>
        </is>
      </c>
      <c r="D27" s="13" t="n">
        <v>1</v>
      </c>
      <c r="E27" s="14" t="n">
        <v>398.9</v>
      </c>
      <c r="F27" s="14" t="n">
        <v>398.9</v>
      </c>
      <c r="G27" s="14" t="n">
        <v>398.9</v>
      </c>
      <c r="H27" s="11" t="n">
        <v>0.001886574074074074</v>
      </c>
      <c r="I27" s="11" t="n">
        <v>0.001886574074074074</v>
      </c>
      <c r="J27" s="11" t="n">
        <v>0.001886574074074074</v>
      </c>
      <c r="K27" s="9" t="n">
        <v>8.810061349693251</v>
      </c>
      <c r="L27" s="9" t="n">
        <v>8.810061349693251</v>
      </c>
      <c r="M27" s="9" t="n">
        <v>8.810061349693251</v>
      </c>
      <c r="N27" s="9" t="n">
        <v>0</v>
      </c>
    </row>
    <row r="28">
      <c r="A28" s="3" t="inlineStr">
        <is>
          <t>PushOffDrive</t>
        </is>
      </c>
      <c r="B28" s="3" t="inlineStr">
        <is>
          <t>725</t>
        </is>
      </c>
      <c r="C28" s="3" t="inlineStr">
        <is>
          <t>605</t>
        </is>
      </c>
      <c r="D28" s="13" t="n">
        <v>1</v>
      </c>
      <c r="E28" s="14" t="n">
        <v>371.24</v>
      </c>
      <c r="F28" s="14" t="n">
        <v>371.24</v>
      </c>
      <c r="G28" s="14" t="n">
        <v>371.24</v>
      </c>
      <c r="H28" s="11" t="n">
        <v>0.001875</v>
      </c>
      <c r="I28" s="11" t="n">
        <v>0.001875</v>
      </c>
      <c r="J28" s="11" t="n">
        <v>0.001875</v>
      </c>
      <c r="K28" s="9" t="n">
        <v>8.249777777777778</v>
      </c>
      <c r="L28" s="9" t="n">
        <v>8.249777777777778</v>
      </c>
      <c r="M28" s="9" t="n">
        <v>8.249777777777778</v>
      </c>
      <c r="N28" s="9" t="n">
        <v>0</v>
      </c>
    </row>
    <row r="29">
      <c r="A29" s="3" t="inlineStr">
        <is>
          <t>PushOffDrive</t>
        </is>
      </c>
      <c r="B29" s="3" t="inlineStr">
        <is>
          <t>727</t>
        </is>
      </c>
      <c r="C29" s="3" t="inlineStr">
        <is>
          <t>605</t>
        </is>
      </c>
      <c r="D29" s="13" t="n">
        <v>2</v>
      </c>
      <c r="E29" s="14" t="n">
        <v>398.6</v>
      </c>
      <c r="F29" s="14" t="n">
        <v>398.6</v>
      </c>
      <c r="G29" s="14" t="n">
        <v>398.6</v>
      </c>
      <c r="H29" s="11" t="n">
        <v>0.001938657407407407</v>
      </c>
      <c r="I29" s="11" t="n">
        <v>0.001875</v>
      </c>
      <c r="J29" s="11" t="n">
        <v>0.002002314814814815</v>
      </c>
      <c r="K29" s="9" t="n">
        <v>8.57617212588311</v>
      </c>
      <c r="L29" s="9" t="n">
        <v>8.294566473988441</v>
      </c>
      <c r="M29" s="9" t="n">
        <v>8.857777777777779</v>
      </c>
      <c r="N29" s="9" t="n">
        <v>0.2816056518946688</v>
      </c>
    </row>
    <row r="30">
      <c r="A30" s="3" t="inlineStr">
        <is>
          <t>PushOffDrive</t>
        </is>
      </c>
      <c r="B30" s="3" t="inlineStr">
        <is>
          <t>727</t>
        </is>
      </c>
      <c r="C30" s="3" t="inlineStr">
        <is>
          <t>606</t>
        </is>
      </c>
      <c r="D30" s="13" t="n">
        <v>4</v>
      </c>
      <c r="E30" s="14" t="n">
        <v>398.2</v>
      </c>
      <c r="F30" s="14" t="n">
        <v>398.2</v>
      </c>
      <c r="G30" s="14" t="n">
        <v>398.2</v>
      </c>
      <c r="H30" s="11" t="n">
        <v>0.001788194444444444</v>
      </c>
      <c r="I30" s="11" t="n">
        <v>0.001736111111111111</v>
      </c>
      <c r="J30" s="11" t="n">
        <v>0.001840277777777778</v>
      </c>
      <c r="K30" s="9" t="n">
        <v>9.282822897635105</v>
      </c>
      <c r="L30" s="9" t="n">
        <v>9.015849056603773</v>
      </c>
      <c r="M30" s="9" t="n">
        <v>9.556799999999999</v>
      </c>
      <c r="N30" s="9" t="n">
        <v>0.2016157253385391</v>
      </c>
    </row>
    <row r="31">
      <c r="A31" s="3" t="inlineStr">
        <is>
          <t>PushOffDrive</t>
        </is>
      </c>
      <c r="B31" s="3" t="inlineStr">
        <is>
          <t>727</t>
        </is>
      </c>
      <c r="C31" s="3" t="inlineStr">
        <is>
          <t>607</t>
        </is>
      </c>
      <c r="D31" s="13" t="n">
        <v>5</v>
      </c>
      <c r="E31" s="14" t="n">
        <v>371.57</v>
      </c>
      <c r="F31" s="14" t="n">
        <v>371.57</v>
      </c>
      <c r="G31" s="14" t="n">
        <v>371.57</v>
      </c>
      <c r="H31" s="11" t="n">
        <v>0.001694444444444445</v>
      </c>
      <c r="I31" s="11" t="n">
        <v>0.00162037037037037</v>
      </c>
      <c r="J31" s="11" t="n">
        <v>0.001805555555555555</v>
      </c>
      <c r="K31" s="9" t="n">
        <v>9.151089806193808</v>
      </c>
      <c r="L31" s="9" t="n">
        <v>8.574692307692308</v>
      </c>
      <c r="M31" s="9" t="n">
        <v>9.554657142857144</v>
      </c>
      <c r="N31" s="9" t="n">
        <v>0.3555548522917564</v>
      </c>
    </row>
    <row r="32">
      <c r="A32" s="3" t="inlineStr">
        <is>
          <t>PushOffDrive</t>
        </is>
      </c>
      <c r="B32" s="3" t="inlineStr">
        <is>
          <t>727</t>
        </is>
      </c>
      <c r="C32" s="3" t="inlineStr">
        <is>
          <t>613</t>
        </is>
      </c>
      <c r="D32" s="13" t="n">
        <v>7</v>
      </c>
      <c r="E32" s="14" t="n">
        <v>290.6</v>
      </c>
      <c r="F32" s="14" t="n">
        <v>290.6</v>
      </c>
      <c r="G32" s="14" t="n">
        <v>290.6</v>
      </c>
      <c r="H32" s="11" t="n">
        <v>0.001441798941798942</v>
      </c>
      <c r="I32" s="11" t="n">
        <v>0.001319444444444444</v>
      </c>
      <c r="J32" s="11" t="n">
        <v>0.001689814814814815</v>
      </c>
      <c r="K32" s="9" t="n">
        <v>8.440740887328058</v>
      </c>
      <c r="L32" s="9" t="n">
        <v>7.165479452054795</v>
      </c>
      <c r="M32" s="9" t="n">
        <v>9.176842105263159</v>
      </c>
      <c r="N32" s="9" t="n">
        <v>0.5721298743680469</v>
      </c>
    </row>
    <row r="33">
      <c r="A33" s="3" t="inlineStr">
        <is>
          <t>PushOffDrive</t>
        </is>
      </c>
      <c r="B33" s="3" t="inlineStr">
        <is>
          <t>727</t>
        </is>
      </c>
      <c r="C33" s="3" t="inlineStr">
        <is>
          <t>615</t>
        </is>
      </c>
      <c r="D33" s="13" t="n">
        <v>8</v>
      </c>
      <c r="E33" s="14" t="n">
        <v>263.09</v>
      </c>
      <c r="F33" s="14" t="n">
        <v>263.09</v>
      </c>
      <c r="G33" s="14" t="n">
        <v>263.09</v>
      </c>
      <c r="H33" s="11" t="n">
        <v>0.001315104166666667</v>
      </c>
      <c r="I33" s="11" t="n">
        <v>0.001203703703703704</v>
      </c>
      <c r="J33" s="11" t="n">
        <v>0.001400462962962963</v>
      </c>
      <c r="K33" s="9" t="n">
        <v>8.364113754646469</v>
      </c>
      <c r="L33" s="9" t="n">
        <v>7.827471074380165</v>
      </c>
      <c r="M33" s="9" t="n">
        <v>9.106961538461539</v>
      </c>
      <c r="N33" s="9" t="n">
        <v>0.4943110909957164</v>
      </c>
    </row>
    <row r="34">
      <c r="A34" s="3" t="inlineStr">
        <is>
          <t>PushOffDrive</t>
        </is>
      </c>
      <c r="B34" s="3" t="inlineStr">
        <is>
          <t>727</t>
        </is>
      </c>
      <c r="C34" s="3" t="inlineStr">
        <is>
          <t>619</t>
        </is>
      </c>
      <c r="D34" s="13" t="n">
        <v>2</v>
      </c>
      <c r="E34" s="14" t="n">
        <v>453.13</v>
      </c>
      <c r="F34" s="14" t="n">
        <v>453.13</v>
      </c>
      <c r="G34" s="14" t="n">
        <v>453.13</v>
      </c>
      <c r="H34" s="11" t="n">
        <v>0.002123842592592593</v>
      </c>
      <c r="I34" s="11" t="n">
        <v>0.001990740740740741</v>
      </c>
      <c r="J34" s="11" t="n">
        <v>0.002256944444444444</v>
      </c>
      <c r="K34" s="9" t="n">
        <v>8.924796601073346</v>
      </c>
      <c r="L34" s="9" t="n">
        <v>8.365476923076924</v>
      </c>
      <c r="M34" s="9" t="n">
        <v>9.484116279069767</v>
      </c>
      <c r="N34" s="9" t="n">
        <v>0.5593196779964211</v>
      </c>
    </row>
    <row r="35">
      <c r="A35" s="3" t="inlineStr">
        <is>
          <t>PushOffDrive</t>
        </is>
      </c>
      <c r="B35" s="3" t="inlineStr">
        <is>
          <t>727</t>
        </is>
      </c>
      <c r="C35" s="3" t="inlineStr">
        <is>
          <t>623</t>
        </is>
      </c>
      <c r="D35" s="13" t="n">
        <v>4</v>
      </c>
      <c r="E35" s="14" t="n">
        <v>405.22</v>
      </c>
      <c r="F35" s="14" t="n">
        <v>405.22</v>
      </c>
      <c r="G35" s="14" t="n">
        <v>405.22</v>
      </c>
      <c r="H35" s="11" t="n">
        <v>0.001837384259259259</v>
      </c>
      <c r="I35" s="11" t="n">
        <v>0.001759259259259259</v>
      </c>
      <c r="J35" s="11" t="n">
        <v>0.001956018518518518</v>
      </c>
      <c r="K35" s="9" t="n">
        <v>9.207856448320012</v>
      </c>
      <c r="L35" s="9" t="n">
        <v>8.631905325443787</v>
      </c>
      <c r="M35" s="9" t="n">
        <v>9.597315789473685</v>
      </c>
      <c r="N35" s="9" t="n">
        <v>0.4111790008461997</v>
      </c>
    </row>
    <row r="36">
      <c r="A36" s="3" t="inlineStr">
        <is>
          <t>PushOffDrive</t>
        </is>
      </c>
      <c r="B36" s="3" t="inlineStr">
        <is>
          <t>727</t>
        </is>
      </c>
      <c r="C36" s="3" t="inlineStr">
        <is>
          <t>625</t>
        </is>
      </c>
      <c r="D36" s="13" t="n">
        <v>4</v>
      </c>
      <c r="E36" s="14" t="n">
        <v>470.92</v>
      </c>
      <c r="F36" s="14" t="n">
        <v>470.92</v>
      </c>
      <c r="G36" s="14" t="n">
        <v>470.92</v>
      </c>
      <c r="H36" s="11" t="n">
        <v>0.0021875</v>
      </c>
      <c r="I36" s="11" t="n">
        <v>0.002037037037037037</v>
      </c>
      <c r="J36" s="11" t="n">
        <v>0.002372685185185185</v>
      </c>
      <c r="K36" s="9" t="n">
        <v>8.996688646666735</v>
      </c>
      <c r="L36" s="9" t="n">
        <v>8.269814634146343</v>
      </c>
      <c r="M36" s="9" t="n">
        <v>9.632454545454546</v>
      </c>
      <c r="N36" s="9" t="n">
        <v>0.4866107294159654</v>
      </c>
    </row>
    <row r="37">
      <c r="A37" s="3" t="inlineStr">
        <is>
          <t>PushOffDrive</t>
        </is>
      </c>
      <c r="B37" s="3" t="inlineStr">
        <is>
          <t>727</t>
        </is>
      </c>
      <c r="C37" s="3" t="inlineStr">
        <is>
          <t>627</t>
        </is>
      </c>
      <c r="D37" s="13" t="n">
        <v>1</v>
      </c>
      <c r="E37" s="14" t="n">
        <v>443.59</v>
      </c>
      <c r="F37" s="14" t="n">
        <v>443.59</v>
      </c>
      <c r="G37" s="14" t="n">
        <v>443.59</v>
      </c>
      <c r="H37" s="11" t="n">
        <v>0.001921296296296296</v>
      </c>
      <c r="I37" s="11" t="n">
        <v>0.001921296296296296</v>
      </c>
      <c r="J37" s="11" t="n">
        <v>0.001921296296296296</v>
      </c>
      <c r="K37" s="9" t="n">
        <v>9.620024096385542</v>
      </c>
      <c r="L37" s="9" t="n">
        <v>9.620024096385542</v>
      </c>
      <c r="M37" s="9" t="n">
        <v>9.620024096385542</v>
      </c>
      <c r="N37" s="9" t="n">
        <v>0</v>
      </c>
    </row>
    <row r="38">
      <c r="A38" s="3" t="inlineStr">
        <is>
          <t>PushOffDrive</t>
        </is>
      </c>
      <c r="B38" s="3" t="inlineStr">
        <is>
          <t>731</t>
        </is>
      </c>
      <c r="C38" s="3" t="inlineStr">
        <is>
          <t>613</t>
        </is>
      </c>
      <c r="D38" s="13" t="n">
        <v>1</v>
      </c>
      <c r="E38" s="14" t="n">
        <v>382.3200000000001</v>
      </c>
      <c r="F38" s="14" t="n">
        <v>382.3200000000001</v>
      </c>
      <c r="G38" s="14" t="n">
        <v>382.3200000000001</v>
      </c>
      <c r="H38" s="11" t="n">
        <v>0.001666666666666667</v>
      </c>
      <c r="I38" s="11" t="n">
        <v>0.001666666666666667</v>
      </c>
      <c r="J38" s="11" t="n">
        <v>0.001666666666666667</v>
      </c>
      <c r="K38" s="9" t="n">
        <v>9.558000000000002</v>
      </c>
      <c r="L38" s="9" t="n">
        <v>9.558000000000002</v>
      </c>
      <c r="M38" s="9" t="n">
        <v>9.558000000000002</v>
      </c>
      <c r="N38" s="9" t="n">
        <v>0</v>
      </c>
    </row>
    <row r="39">
      <c r="A39" s="3" t="inlineStr">
        <is>
          <t>PushOffDrive</t>
        </is>
      </c>
      <c r="B39" s="3" t="inlineStr">
        <is>
          <t>731</t>
        </is>
      </c>
      <c r="C39" s="3" t="inlineStr">
        <is>
          <t>615</t>
        </is>
      </c>
      <c r="D39" s="13" t="n">
        <v>1</v>
      </c>
      <c r="E39" s="14" t="n">
        <v>354.81</v>
      </c>
      <c r="F39" s="14" t="n">
        <v>354.81</v>
      </c>
      <c r="G39" s="14" t="n">
        <v>354.81</v>
      </c>
      <c r="H39" s="11" t="n">
        <v>0.001550925925925926</v>
      </c>
      <c r="I39" s="11" t="n">
        <v>0.001550925925925926</v>
      </c>
      <c r="J39" s="11" t="n">
        <v>0.001550925925925926</v>
      </c>
      <c r="K39" s="9" t="n">
        <v>9.532208955223881</v>
      </c>
      <c r="L39" s="9" t="n">
        <v>9.532208955223881</v>
      </c>
      <c r="M39" s="9" t="n">
        <v>9.532208955223881</v>
      </c>
      <c r="N39" s="9" t="n">
        <v>0</v>
      </c>
    </row>
    <row r="40">
      <c r="A40" s="3" t="inlineStr">
        <is>
          <t>PushOffDrive</t>
        </is>
      </c>
      <c r="B40" s="3" t="inlineStr">
        <is>
          <t>731</t>
        </is>
      </c>
      <c r="C40" s="3" t="inlineStr">
        <is>
          <t>625</t>
        </is>
      </c>
      <c r="D40" s="13" t="n">
        <v>1</v>
      </c>
      <c r="E40" s="14" t="n">
        <v>562.6400000000001</v>
      </c>
      <c r="F40" s="14" t="n">
        <v>562.6400000000001</v>
      </c>
      <c r="G40" s="14" t="n">
        <v>562.6400000000001</v>
      </c>
      <c r="H40" s="11" t="n">
        <v>0.002418981481481482</v>
      </c>
      <c r="I40" s="11" t="n">
        <v>0.002418981481481482</v>
      </c>
      <c r="J40" s="11" t="n">
        <v>0.002418981481481482</v>
      </c>
      <c r="K40" s="9" t="n">
        <v>9.691406698564595</v>
      </c>
      <c r="L40" s="9" t="n">
        <v>9.691406698564595</v>
      </c>
      <c r="M40" s="9" t="n">
        <v>9.691406698564595</v>
      </c>
      <c r="N40" s="9" t="n">
        <v>0</v>
      </c>
    </row>
    <row r="41">
      <c r="A41" s="3" t="inlineStr">
        <is>
          <t>PushOffDrive</t>
        </is>
      </c>
      <c r="B41" s="3" t="inlineStr">
        <is>
          <t>731</t>
        </is>
      </c>
      <c r="C41" s="3" t="inlineStr">
        <is>
          <t>627</t>
        </is>
      </c>
      <c r="D41" s="13" t="n">
        <v>1</v>
      </c>
      <c r="E41" s="14" t="n">
        <v>535.3099999999999</v>
      </c>
      <c r="F41" s="14" t="n">
        <v>535.3099999999999</v>
      </c>
      <c r="G41" s="14" t="n">
        <v>535.3099999999999</v>
      </c>
      <c r="H41" s="11" t="n">
        <v>0.002314814814814815</v>
      </c>
      <c r="I41" s="11" t="n">
        <v>0.002314814814814815</v>
      </c>
      <c r="J41" s="11" t="n">
        <v>0.002314814814814815</v>
      </c>
      <c r="K41" s="9" t="n">
        <v>9.635579999999999</v>
      </c>
      <c r="L41" s="9" t="n">
        <v>9.635579999999999</v>
      </c>
      <c r="M41" s="9" t="n">
        <v>9.635579999999999</v>
      </c>
      <c r="N41" s="9" t="n">
        <v>0</v>
      </c>
    </row>
  </sheetData>
  <autoFilter ref="A1:N4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19" customWidth="1" min="4" max="4"/>
    <col width="19" customWidth="1" min="5" max="5"/>
    <col width="1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20" customWidth="1" min="16" max="16"/>
    <col width="12" customWidth="1" min="17" max="17"/>
  </cols>
  <sheetData>
    <row r="1" ht="45" customHeight="1">
      <c r="A1" s="1" t="inlineStr">
        <is>
          <t>WG Id</t>
        </is>
      </c>
      <c r="B1" s="1" t="inlineStr">
        <is>
          <t>Parent Train</t>
        </is>
      </c>
      <c r="C1" s="1" t="inlineStr">
        <is>
          <t>Train Spawn</t>
        </is>
      </c>
      <c r="D1" s="1" t="inlineStr">
        <is>
          <t>Train Arrived Track</t>
        </is>
      </c>
      <c r="E1" s="1" t="inlineStr">
        <is>
          <t>WG PushOff Drive Start</t>
        </is>
      </c>
      <c r="F1" s="1" t="inlineStr">
        <is>
          <t>WG Arrived Classif</t>
        </is>
      </c>
      <c r="G1" s="1" t="inlineStr">
        <is>
          <t>Parent OBT</t>
        </is>
      </c>
      <c r="H1" s="1" t="inlineStr">
        <is>
          <t>OBT Formed</t>
        </is>
      </c>
      <c r="I1" s="1" t="inlineStr">
        <is>
          <t>OBT Leaves Classif (DEPD start)</t>
        </is>
      </c>
      <c r="J1" s="1" t="inlineStr">
        <is>
          <t>Train Exits Station</t>
        </is>
      </c>
      <c r="K1" s="1" t="inlineStr">
        <is>
          <t>Arrival Yard (hh:mm:ss)</t>
        </is>
      </c>
      <c r="L1" s="1" t="inlineStr">
        <is>
          <t>Classif Yard (hh:mm:ss)</t>
        </is>
      </c>
      <c r="P1" s="5" t="inlineStr">
        <is>
          <t>Summary (hh:mm:ss)</t>
        </is>
      </c>
    </row>
    <row r="2">
      <c r="A2" s="3" t="inlineStr">
        <is>
          <t>1200201</t>
        </is>
      </c>
      <c r="B2" s="3" t="inlineStr">
        <is>
          <t>12002</t>
        </is>
      </c>
      <c r="C2" s="10" t="n">
        <v>45663.20833333334</v>
      </c>
      <c r="D2" s="10" t="n">
        <v>45663.20996527778</v>
      </c>
      <c r="E2" s="10" t="n">
        <v>45663.21689814814</v>
      </c>
      <c r="F2" s="10" t="n">
        <v>45663.21814814815</v>
      </c>
      <c r="G2" s="3" t="inlineStr">
        <is>
          <t>OBT060125052942-Ljubljana</t>
        </is>
      </c>
      <c r="H2" s="10" t="n">
        <v>45663.22895833333</v>
      </c>
      <c r="I2" s="10" t="n">
        <v>45663.25012731482</v>
      </c>
      <c r="J2" s="10" t="n">
        <v>45663.25084490741</v>
      </c>
      <c r="K2" s="11">
        <f>IF(AND(ISNUMBER(D2),ISNUMBER(E2)),(E2-D2),"")</f>
        <v/>
      </c>
      <c r="L2" s="11">
        <f>IF(AND(ISNUMBER(F2),ISNUMBER(I2)),(I2-F2),"")</f>
        <v/>
      </c>
      <c r="P2" s="6" t="inlineStr">
        <is>
          <t>Arrival yard mean</t>
        </is>
      </c>
      <c r="Q2" s="8">
        <f>IFERROR(AVERAGE(K2:K251),0)</f>
        <v/>
      </c>
    </row>
    <row r="3">
      <c r="A3" s="3" t="inlineStr">
        <is>
          <t>1200202</t>
        </is>
      </c>
      <c r="B3" s="3" t="inlineStr">
        <is>
          <t>12002</t>
        </is>
      </c>
      <c r="C3" s="10" t="n">
        <v>45663.20833333334</v>
      </c>
      <c r="D3" s="10" t="n">
        <v>45663.20996527778</v>
      </c>
      <c r="E3" s="10" t="n">
        <v>45663.21814814815</v>
      </c>
      <c r="F3" s="10" t="n">
        <v>45663.21957175926</v>
      </c>
      <c r="G3" s="3" t="inlineStr">
        <is>
          <t>OBT070125062515-Linz</t>
        </is>
      </c>
      <c r="H3" s="10" t="n">
        <v>45664.26753472222</v>
      </c>
      <c r="I3" s="10" t="n">
        <v>45664.29337962963</v>
      </c>
      <c r="J3" s="10" t="n">
        <v>45664.29414351852</v>
      </c>
      <c r="K3" s="11">
        <f>IF(AND(ISNUMBER(D3),ISNUMBER(E3)),(E3-D3),"")</f>
        <v/>
      </c>
      <c r="L3" s="11">
        <f>IF(AND(ISNUMBER(F3),ISNUMBER(I3)),(I3-F3),"")</f>
        <v/>
      </c>
      <c r="P3" s="6" t="inlineStr">
        <is>
          <t>Arrival yard median</t>
        </is>
      </c>
      <c r="Q3" s="8">
        <f>IFERROR(MEDIAN(K2:K251),0)</f>
        <v/>
      </c>
    </row>
    <row r="4">
      <c r="A4" s="3" t="inlineStr">
        <is>
          <t>1200203</t>
        </is>
      </c>
      <c r="B4" s="3" t="inlineStr">
        <is>
          <t>12002</t>
        </is>
      </c>
      <c r="C4" s="10" t="n">
        <v>45663.20833333334</v>
      </c>
      <c r="D4" s="10" t="n">
        <v>45663.20996527778</v>
      </c>
      <c r="E4" s="10" t="n">
        <v>45663.21814814815</v>
      </c>
      <c r="F4" s="10" t="n">
        <v>45663.21957175926</v>
      </c>
      <c r="G4" s="3" t="inlineStr">
        <is>
          <t>OBT070125062515-Linz</t>
        </is>
      </c>
      <c r="H4" s="10" t="n">
        <v>45664.26753472222</v>
      </c>
      <c r="I4" s="10" t="n">
        <v>45664.29337962963</v>
      </c>
      <c r="J4" s="10" t="n">
        <v>45664.29414351852</v>
      </c>
      <c r="K4" s="11">
        <f>IF(AND(ISNUMBER(D4),ISNUMBER(E4)),(E4-D4),"")</f>
        <v/>
      </c>
      <c r="L4" s="11">
        <f>IF(AND(ISNUMBER(F4),ISNUMBER(I4)),(I4-F4),"")</f>
        <v/>
      </c>
      <c r="P4" s="6" t="inlineStr">
        <is>
          <t>Arrival yard min</t>
        </is>
      </c>
      <c r="Q4" s="8">
        <f>IFERROR(MIN(K2:K251),0)</f>
        <v/>
      </c>
    </row>
    <row r="5">
      <c r="A5" s="3" t="inlineStr">
        <is>
          <t>1200204</t>
        </is>
      </c>
      <c r="B5" s="3" t="inlineStr">
        <is>
          <t>12002</t>
        </is>
      </c>
      <c r="C5" s="10" t="n">
        <v>45663.20833333334</v>
      </c>
      <c r="D5" s="10" t="n">
        <v>45663.20996527778</v>
      </c>
      <c r="E5" s="10" t="n">
        <v>45663.21957175926</v>
      </c>
      <c r="F5" s="10" t="n">
        <v>45663.22078703704</v>
      </c>
      <c r="G5" s="3" t="inlineStr">
        <is>
          <t>OBT060125052942-Ljubljana</t>
        </is>
      </c>
      <c r="H5" s="10" t="n">
        <v>45663.22895833333</v>
      </c>
      <c r="I5" s="10" t="n">
        <v>45663.25012731482</v>
      </c>
      <c r="J5" s="10" t="n">
        <v>45663.25084490741</v>
      </c>
      <c r="K5" s="11">
        <f>IF(AND(ISNUMBER(D5),ISNUMBER(E5)),(E5-D5),"")</f>
        <v/>
      </c>
      <c r="L5" s="11">
        <f>IF(AND(ISNUMBER(F5),ISNUMBER(I5)),(I5-F5),"")</f>
        <v/>
      </c>
      <c r="P5" s="6" t="inlineStr">
        <is>
          <t>Arrival yard max</t>
        </is>
      </c>
      <c r="Q5" s="8">
        <f>IFERROR(MAX(K2:K251),0)</f>
        <v/>
      </c>
    </row>
    <row r="6">
      <c r="A6" s="3" t="inlineStr">
        <is>
          <t>1200101</t>
        </is>
      </c>
      <c r="B6" s="3" t="inlineStr">
        <is>
          <t>12001</t>
        </is>
      </c>
      <c r="C6" s="10" t="n">
        <v>45663.20833333334</v>
      </c>
      <c r="D6" s="10" t="n">
        <v>45663.21043981481</v>
      </c>
      <c r="E6" s="10" t="n">
        <v>45663.22166666666</v>
      </c>
      <c r="F6" s="10" t="n">
        <v>45663.2237962963</v>
      </c>
      <c r="G6" s="3" t="inlineStr">
        <is>
          <t>OBT060125053957-Graz</t>
        </is>
      </c>
      <c r="H6" s="10" t="n">
        <v>45663.23607638889</v>
      </c>
      <c r="I6" s="10" t="n">
        <v>45663.25635416667</v>
      </c>
      <c r="J6" s="10" t="n">
        <v>45663.25700231481</v>
      </c>
      <c r="K6" s="11">
        <f>IF(AND(ISNUMBER(D6),ISNUMBER(E6)),(E6-D6),"")</f>
        <v/>
      </c>
      <c r="L6" s="11">
        <f>IF(AND(ISNUMBER(F6),ISNUMBER(I6)),(I6-F6),"")</f>
        <v/>
      </c>
      <c r="P6" s="6" t="inlineStr">
        <is>
          <t>Classif yard mean</t>
        </is>
      </c>
      <c r="Q6" s="8">
        <f>IFERROR(AVERAGE(L2:L251),0)</f>
        <v/>
      </c>
    </row>
    <row r="7">
      <c r="A7" s="3" t="inlineStr">
        <is>
          <t>1200102</t>
        </is>
      </c>
      <c r="B7" s="3" t="inlineStr">
        <is>
          <t>12001</t>
        </is>
      </c>
      <c r="C7" s="10" t="n">
        <v>45663.20833333334</v>
      </c>
      <c r="D7" s="10" t="n">
        <v>45663.21043981481</v>
      </c>
      <c r="E7" s="10" t="n">
        <v>45663.22166666666</v>
      </c>
      <c r="F7" s="10" t="n">
        <v>45663.2237962963</v>
      </c>
      <c r="G7" s="3" t="inlineStr">
        <is>
          <t>OBT060125053957-Graz</t>
        </is>
      </c>
      <c r="H7" s="10" t="n">
        <v>45663.23607638889</v>
      </c>
      <c r="I7" s="10" t="n">
        <v>45663.25635416667</v>
      </c>
      <c r="J7" s="10" t="n">
        <v>45663.25700231481</v>
      </c>
      <c r="K7" s="11">
        <f>IF(AND(ISNUMBER(D7),ISNUMBER(E7)),(E7-D7),"")</f>
        <v/>
      </c>
      <c r="L7" s="11">
        <f>IF(AND(ISNUMBER(F7),ISNUMBER(I7)),(I7-F7),"")</f>
        <v/>
      </c>
      <c r="P7" s="6" t="inlineStr">
        <is>
          <t>Classif yard median</t>
        </is>
      </c>
      <c r="Q7" s="8">
        <f>IFERROR(MEDIAN(L2:L251),0)</f>
        <v/>
      </c>
    </row>
    <row r="8">
      <c r="A8" s="3" t="inlineStr">
        <is>
          <t>1200103</t>
        </is>
      </c>
      <c r="B8" s="3" t="inlineStr">
        <is>
          <t>12001</t>
        </is>
      </c>
      <c r="C8" s="10" t="n">
        <v>45663.20833333334</v>
      </c>
      <c r="D8" s="10" t="n">
        <v>45663.21043981481</v>
      </c>
      <c r="E8" s="10" t="n">
        <v>45663.2237962963</v>
      </c>
      <c r="F8" s="10" t="n">
        <v>45663.22597222222</v>
      </c>
      <c r="G8" s="3" t="inlineStr">
        <is>
          <t>OBT070125064013-Ljubljana</t>
        </is>
      </c>
      <c r="H8" s="10" t="n">
        <v>45664.27792824074</v>
      </c>
      <c r="I8" s="10" t="n">
        <v>45664.31945601852</v>
      </c>
      <c r="J8" s="10" t="n">
        <v>45664.32040509259</v>
      </c>
      <c r="K8" s="11">
        <f>IF(AND(ISNUMBER(D8),ISNUMBER(E8)),(E8-D8),"")</f>
        <v/>
      </c>
      <c r="L8" s="11">
        <f>IF(AND(ISNUMBER(F8),ISNUMBER(I8)),(I8-F8),"")</f>
        <v/>
      </c>
      <c r="P8" s="6" t="inlineStr">
        <is>
          <t>Classif yard min</t>
        </is>
      </c>
      <c r="Q8" s="8">
        <f>IFERROR(MIN(L2:L251),0)</f>
        <v/>
      </c>
    </row>
    <row r="9">
      <c r="A9" s="3" t="inlineStr">
        <is>
          <t>1200104</t>
        </is>
      </c>
      <c r="B9" s="3" t="inlineStr">
        <is>
          <t>12001</t>
        </is>
      </c>
      <c r="C9" s="10" t="n">
        <v>45663.20833333334</v>
      </c>
      <c r="D9" s="10" t="n">
        <v>45663.21043981481</v>
      </c>
      <c r="E9" s="10" t="n">
        <v>45663.22597222222</v>
      </c>
      <c r="F9" s="10" t="n">
        <v>45663.22773148148</v>
      </c>
      <c r="G9" s="3" t="inlineStr">
        <is>
          <t>OBT060125151513-Graz</t>
        </is>
      </c>
      <c r="H9" s="10" t="n">
        <v>45663.63556712963</v>
      </c>
      <c r="I9" s="10" t="n">
        <v>45663.65865740741</v>
      </c>
      <c r="J9" s="10" t="n">
        <v>45663.65954861111</v>
      </c>
      <c r="K9" s="11">
        <f>IF(AND(ISNUMBER(D9),ISNUMBER(E9)),(E9-D9),"")</f>
        <v/>
      </c>
      <c r="L9" s="11">
        <f>IF(AND(ISNUMBER(F9),ISNUMBER(I9)),(I9-F9),"")</f>
        <v/>
      </c>
      <c r="P9" s="6" t="inlineStr">
        <is>
          <t>Classif yard max</t>
        </is>
      </c>
      <c r="Q9" s="8">
        <f>IFERROR(MAX(L2:L251),0)</f>
        <v/>
      </c>
    </row>
    <row r="10">
      <c r="A10" s="3" t="inlineStr">
        <is>
          <t>1200301</t>
        </is>
      </c>
      <c r="B10" s="3" t="inlineStr">
        <is>
          <t>12003</t>
        </is>
      </c>
      <c r="C10" s="10" t="n">
        <v>45663.3125</v>
      </c>
      <c r="D10" s="10" t="n">
        <v>45663.31445601852</v>
      </c>
      <c r="E10" s="10" t="n">
        <v>45663.32064814815</v>
      </c>
      <c r="F10" s="10" t="n">
        <v>45663.3221412037</v>
      </c>
      <c r="G10" s="3" t="inlineStr">
        <is>
          <t>OBT060125080833-Innsbruck</t>
        </is>
      </c>
      <c r="H10" s="10" t="n">
        <v>45663.33927083333</v>
      </c>
      <c r="I10" s="10" t="n">
        <v>45663.36791666667</v>
      </c>
      <c r="J10" s="10" t="n">
        <v>45663.36876157407</v>
      </c>
      <c r="K10" s="11">
        <f>IF(AND(ISNUMBER(D10),ISNUMBER(E10)),(E10-D10),"")</f>
        <v/>
      </c>
      <c r="L10" s="11">
        <f>IF(AND(ISNUMBER(F10),ISNUMBER(I10)),(I10-F10),"")</f>
        <v/>
      </c>
    </row>
    <row r="11">
      <c r="A11" s="3" t="inlineStr">
        <is>
          <t>1200302</t>
        </is>
      </c>
      <c r="B11" s="3" t="inlineStr">
        <is>
          <t>12003</t>
        </is>
      </c>
      <c r="C11" s="10" t="n">
        <v>45663.3125</v>
      </c>
      <c r="D11" s="10" t="n">
        <v>45663.31445601852</v>
      </c>
      <c r="E11" s="10" t="n">
        <v>45663.32064814815</v>
      </c>
      <c r="F11" s="10" t="n">
        <v>45663.3221412037</v>
      </c>
      <c r="G11" s="3" t="inlineStr">
        <is>
          <t>OBT060125080833-Innsbruck</t>
        </is>
      </c>
      <c r="H11" s="10" t="n">
        <v>45663.33927083333</v>
      </c>
      <c r="I11" s="10" t="n">
        <v>45663.36791666667</v>
      </c>
      <c r="J11" s="10" t="n">
        <v>45663.36876157407</v>
      </c>
      <c r="K11" s="11">
        <f>IF(AND(ISNUMBER(D11),ISNUMBER(E11)),(E11-D11),"")</f>
        <v/>
      </c>
      <c r="L11" s="11">
        <f>IF(AND(ISNUMBER(F11),ISNUMBER(I11)),(I11-F11),"")</f>
        <v/>
      </c>
    </row>
    <row r="12">
      <c r="A12" s="3" t="inlineStr">
        <is>
          <t>1200303</t>
        </is>
      </c>
      <c r="B12" s="3" t="inlineStr">
        <is>
          <t>12003</t>
        </is>
      </c>
      <c r="C12" s="10" t="n">
        <v>45663.3125</v>
      </c>
      <c r="D12" s="10" t="n">
        <v>45663.31445601852</v>
      </c>
      <c r="E12" s="10" t="n">
        <v>45663.32064814815</v>
      </c>
      <c r="F12" s="10" t="n">
        <v>45663.3221412037</v>
      </c>
      <c r="G12" s="3" t="inlineStr">
        <is>
          <t>OBT060125080833-Innsbruck</t>
        </is>
      </c>
      <c r="H12" s="10" t="n">
        <v>45663.33927083333</v>
      </c>
      <c r="I12" s="10" t="n">
        <v>45663.36791666667</v>
      </c>
      <c r="J12" s="10" t="n">
        <v>45663.36876157407</v>
      </c>
      <c r="K12" s="11">
        <f>IF(AND(ISNUMBER(D12),ISNUMBER(E12)),(E12-D12),"")</f>
        <v/>
      </c>
      <c r="L12" s="11">
        <f>IF(AND(ISNUMBER(F12),ISNUMBER(I12)),(I12-F12),"")</f>
        <v/>
      </c>
    </row>
    <row r="13">
      <c r="A13" s="3" t="inlineStr">
        <is>
          <t>1200401</t>
        </is>
      </c>
      <c r="B13" s="3" t="inlineStr">
        <is>
          <t>12004</t>
        </is>
      </c>
      <c r="C13" s="10" t="n">
        <v>45663.46875</v>
      </c>
      <c r="D13" s="10" t="n">
        <v>45663.47056712963</v>
      </c>
      <c r="E13" s="10" t="n">
        <v>45663.47606481481</v>
      </c>
      <c r="F13" s="10" t="n">
        <v>45663.47741898148</v>
      </c>
      <c r="G13" s="3" t="inlineStr">
        <is>
          <t>OBT060125152158-Salzburg</t>
        </is>
      </c>
      <c r="H13" s="10" t="n">
        <v>45663.64025462963</v>
      </c>
      <c r="I13" s="10" t="n">
        <v>45663.67167824074</v>
      </c>
      <c r="J13" s="10" t="n">
        <v>45663.67255787037</v>
      </c>
      <c r="K13" s="11">
        <f>IF(AND(ISNUMBER(D13),ISNUMBER(E13)),(E13-D13),"")</f>
        <v/>
      </c>
      <c r="L13" s="11">
        <f>IF(AND(ISNUMBER(F13),ISNUMBER(I13)),(I13-F13),"")</f>
        <v/>
      </c>
    </row>
    <row r="14">
      <c r="A14" s="3" t="inlineStr">
        <is>
          <t>1200402</t>
        </is>
      </c>
      <c r="B14" s="3" t="inlineStr">
        <is>
          <t>12004</t>
        </is>
      </c>
      <c r="C14" s="10" t="n">
        <v>45663.46875</v>
      </c>
      <c r="D14" s="10" t="n">
        <v>45663.47056712963</v>
      </c>
      <c r="E14" s="10" t="n">
        <v>45663.47606481481</v>
      </c>
      <c r="F14" s="10" t="n">
        <v>45663.47741898148</v>
      </c>
      <c r="G14" s="3" t="inlineStr">
        <is>
          <t>OBT060125152158-Salzburg</t>
        </is>
      </c>
      <c r="H14" s="10" t="n">
        <v>45663.64025462963</v>
      </c>
      <c r="I14" s="10" t="n">
        <v>45663.67167824074</v>
      </c>
      <c r="J14" s="10" t="n">
        <v>45663.67255787037</v>
      </c>
      <c r="K14" s="11">
        <f>IF(AND(ISNUMBER(D14),ISNUMBER(E14)),(E14-D14),"")</f>
        <v/>
      </c>
      <c r="L14" s="11">
        <f>IF(AND(ISNUMBER(F14),ISNUMBER(I14)),(I14-F14),"")</f>
        <v/>
      </c>
    </row>
    <row r="15">
      <c r="A15" s="3" t="inlineStr">
        <is>
          <t>1200501</t>
        </is>
      </c>
      <c r="B15" s="3" t="inlineStr">
        <is>
          <t>12005</t>
        </is>
      </c>
      <c r="C15" s="10" t="n">
        <v>45663.61458333334</v>
      </c>
      <c r="D15" s="10" t="n">
        <v>45663.61658564815</v>
      </c>
      <c r="E15" s="10" t="n">
        <v>45663.62405092592</v>
      </c>
      <c r="F15" s="10" t="n">
        <v>45663.6258912037</v>
      </c>
      <c r="G15" s="3" t="inlineStr">
        <is>
          <t>OBT060125151513-Graz</t>
        </is>
      </c>
      <c r="H15" s="10" t="n">
        <v>45663.63556712963</v>
      </c>
      <c r="I15" s="10" t="n">
        <v>45663.65865740741</v>
      </c>
      <c r="J15" s="10" t="n">
        <v>45663.65954861111</v>
      </c>
      <c r="K15" s="11">
        <f>IF(AND(ISNUMBER(D15),ISNUMBER(E15)),(E15-D15),"")</f>
        <v/>
      </c>
      <c r="L15" s="11">
        <f>IF(AND(ISNUMBER(F15),ISNUMBER(I15)),(I15-F15),"")</f>
        <v/>
      </c>
    </row>
    <row r="16">
      <c r="A16" s="3" t="inlineStr">
        <is>
          <t>1200502</t>
        </is>
      </c>
      <c r="B16" s="3" t="inlineStr">
        <is>
          <t>12005</t>
        </is>
      </c>
      <c r="C16" s="10" t="n">
        <v>45663.61458333334</v>
      </c>
      <c r="D16" s="10" t="n">
        <v>45663.61658564815</v>
      </c>
      <c r="E16" s="10" t="n">
        <v>45663.6258912037</v>
      </c>
      <c r="F16" s="10" t="n">
        <v>45663.62719907407</v>
      </c>
      <c r="G16" s="3" t="inlineStr">
        <is>
          <t>OBT060125152158-Salzburg</t>
        </is>
      </c>
      <c r="H16" s="10" t="n">
        <v>45663.64025462963</v>
      </c>
      <c r="I16" s="10" t="n">
        <v>45663.67167824074</v>
      </c>
      <c r="J16" s="10" t="n">
        <v>45663.67255787037</v>
      </c>
      <c r="K16" s="11">
        <f>IF(AND(ISNUMBER(D16),ISNUMBER(E16)),(E16-D16),"")</f>
        <v/>
      </c>
      <c r="L16" s="11">
        <f>IF(AND(ISNUMBER(F16),ISNUMBER(I16)),(I16-F16),"")</f>
        <v/>
      </c>
    </row>
    <row r="17">
      <c r="A17" s="3" t="inlineStr">
        <is>
          <t>1200503</t>
        </is>
      </c>
      <c r="B17" s="3" t="inlineStr">
        <is>
          <t>12005</t>
        </is>
      </c>
      <c r="C17" s="10" t="n">
        <v>45663.61458333334</v>
      </c>
      <c r="D17" s="10" t="n">
        <v>45663.61658564815</v>
      </c>
      <c r="E17" s="10" t="n">
        <v>45663.6258912037</v>
      </c>
      <c r="F17" s="10" t="n">
        <v>45663.62719907407</v>
      </c>
      <c r="G17" s="3" t="inlineStr">
        <is>
          <t>OBT060125152158-Salzburg</t>
        </is>
      </c>
      <c r="H17" s="10" t="n">
        <v>45663.64025462963</v>
      </c>
      <c r="I17" s="10" t="n">
        <v>45663.67167824074</v>
      </c>
      <c r="J17" s="10" t="n">
        <v>45663.67255787037</v>
      </c>
      <c r="K17" s="11">
        <f>IF(AND(ISNUMBER(D17),ISNUMBER(E17)),(E17-D17),"")</f>
        <v/>
      </c>
      <c r="L17" s="11">
        <f>IF(AND(ISNUMBER(F17),ISNUMBER(I17)),(I17-F17),"")</f>
        <v/>
      </c>
    </row>
    <row r="18">
      <c r="A18" s="3" t="inlineStr">
        <is>
          <t>1200504</t>
        </is>
      </c>
      <c r="B18" s="3" t="inlineStr">
        <is>
          <t>12005</t>
        </is>
      </c>
      <c r="C18" s="10" t="n">
        <v>45663.61458333334</v>
      </c>
      <c r="D18" s="10" t="n">
        <v>45663.61658564815</v>
      </c>
      <c r="E18" s="10" t="n">
        <v>45663.62719907407</v>
      </c>
      <c r="F18" s="10" t="n">
        <v>45663.62895833333</v>
      </c>
      <c r="G18" s="3" t="inlineStr">
        <is>
          <t>OBT060125151513-Graz</t>
        </is>
      </c>
      <c r="H18" s="10" t="n">
        <v>45663.63556712963</v>
      </c>
      <c r="I18" s="10" t="n">
        <v>45663.65865740741</v>
      </c>
      <c r="J18" s="10" t="n">
        <v>45663.65954861111</v>
      </c>
      <c r="K18" s="11">
        <f>IF(AND(ISNUMBER(D18),ISNUMBER(E18)),(E18-D18),"")</f>
        <v/>
      </c>
      <c r="L18" s="11">
        <f>IF(AND(ISNUMBER(F18),ISNUMBER(I18)),(I18-F18),"")</f>
        <v/>
      </c>
    </row>
    <row r="19">
      <c r="A19" s="3" t="inlineStr">
        <is>
          <t>1200601</t>
        </is>
      </c>
      <c r="B19" s="3" t="inlineStr">
        <is>
          <t>12006</t>
        </is>
      </c>
      <c r="C19" s="10" t="n">
        <v>45664.25</v>
      </c>
      <c r="D19" s="10" t="n">
        <v>45664.25195601852</v>
      </c>
      <c r="E19" s="10" t="n">
        <v>45664.25798611111</v>
      </c>
      <c r="F19" s="10" t="n">
        <v>45664.2593287037</v>
      </c>
      <c r="G19" s="3" t="inlineStr">
        <is>
          <t>OBT070125062515-Linz</t>
        </is>
      </c>
      <c r="H19" s="10" t="n">
        <v>45664.26753472222</v>
      </c>
      <c r="I19" s="10" t="n">
        <v>45664.29337962963</v>
      </c>
      <c r="J19" s="10" t="n">
        <v>45664.29414351852</v>
      </c>
      <c r="K19" s="11">
        <f>IF(AND(ISNUMBER(D19),ISNUMBER(E19)),(E19-D19),"")</f>
        <v/>
      </c>
      <c r="L19" s="11">
        <f>IF(AND(ISNUMBER(F19),ISNUMBER(I19)),(I19-F19),"")</f>
        <v/>
      </c>
    </row>
    <row r="20">
      <c r="A20" s="3" t="inlineStr">
        <is>
          <t>1200602</t>
        </is>
      </c>
      <c r="B20" s="3" t="inlineStr">
        <is>
          <t>12006</t>
        </is>
      </c>
      <c r="C20" s="10" t="n">
        <v>45664.25</v>
      </c>
      <c r="D20" s="10" t="n">
        <v>45664.25195601852</v>
      </c>
      <c r="E20" s="10" t="n">
        <v>45664.2593287037</v>
      </c>
      <c r="F20" s="10" t="n">
        <v>45664.26158564815</v>
      </c>
      <c r="G20" s="3" t="inlineStr">
        <is>
          <t>OBT070125064013-Ljubljana</t>
        </is>
      </c>
      <c r="H20" s="10" t="n">
        <v>45664.27792824074</v>
      </c>
      <c r="I20" s="10" t="n">
        <v>45664.31945601852</v>
      </c>
      <c r="J20" s="10" t="n">
        <v>45664.32040509259</v>
      </c>
      <c r="K20" s="11">
        <f>IF(AND(ISNUMBER(D20),ISNUMBER(E20)),(E20-D20),"")</f>
        <v/>
      </c>
      <c r="L20" s="11">
        <f>IF(AND(ISNUMBER(F20),ISNUMBER(I20)),(I20-F20),"")</f>
        <v/>
      </c>
    </row>
    <row r="21">
      <c r="A21" s="3" t="inlineStr">
        <is>
          <t>1200603</t>
        </is>
      </c>
      <c r="B21" s="3" t="inlineStr">
        <is>
          <t>12006</t>
        </is>
      </c>
      <c r="C21" s="10" t="n">
        <v>45664.25</v>
      </c>
      <c r="D21" s="10" t="n">
        <v>45664.25195601852</v>
      </c>
      <c r="E21" s="10" t="n">
        <v>45664.2593287037</v>
      </c>
      <c r="F21" s="10" t="n">
        <v>45664.26158564815</v>
      </c>
      <c r="G21" s="3" t="inlineStr">
        <is>
          <t>OBT070125064013-Ljubljana</t>
        </is>
      </c>
      <c r="H21" s="10" t="n">
        <v>45664.27792824074</v>
      </c>
      <c r="I21" s="10" t="n">
        <v>45664.31945601852</v>
      </c>
      <c r="J21" s="10" t="n">
        <v>45664.32040509259</v>
      </c>
      <c r="K21" s="11">
        <f>IF(AND(ISNUMBER(D21),ISNUMBER(E21)),(E21-D21),"")</f>
        <v/>
      </c>
      <c r="L21" s="11">
        <f>IF(AND(ISNUMBER(F21),ISNUMBER(I21)),(I21-F21),"")</f>
        <v/>
      </c>
    </row>
    <row r="22">
      <c r="A22" s="3" t="inlineStr">
        <is>
          <t>1200701</t>
        </is>
      </c>
      <c r="B22" s="3" t="inlineStr">
        <is>
          <t>12007</t>
        </is>
      </c>
      <c r="C22" s="10" t="n">
        <v>45664.26041666666</v>
      </c>
      <c r="D22" s="10" t="n">
        <v>45664.26186342593</v>
      </c>
      <c r="E22" s="10" t="n">
        <v>45664.26762731482</v>
      </c>
      <c r="F22" s="10" t="n">
        <v>45664.2690162037</v>
      </c>
      <c r="G22" s="3" t="inlineStr">
        <is>
          <t>OBT070125064725-Vienna</t>
        </is>
      </c>
      <c r="H22" s="10" t="n">
        <v>45664.28292824074</v>
      </c>
      <c r="I22" s="10" t="n">
        <v>45664.31829861111</v>
      </c>
      <c r="J22" s="10" t="n">
        <v>45664.3190625</v>
      </c>
      <c r="K22" s="11">
        <f>IF(AND(ISNUMBER(D22),ISNUMBER(E22)),(E22-D22),"")</f>
        <v/>
      </c>
      <c r="L22" s="11">
        <f>IF(AND(ISNUMBER(F22),ISNUMBER(I22)),(I22-F22),"")</f>
        <v/>
      </c>
    </row>
    <row r="23">
      <c r="A23" s="3" t="inlineStr">
        <is>
          <t>1200702</t>
        </is>
      </c>
      <c r="B23" s="3" t="inlineStr">
        <is>
          <t>12007</t>
        </is>
      </c>
      <c r="C23" s="10" t="n">
        <v>45664.26041666666</v>
      </c>
      <c r="D23" s="10" t="n">
        <v>45664.26186342593</v>
      </c>
      <c r="E23" s="10" t="n">
        <v>45664.26762731482</v>
      </c>
      <c r="F23" s="10" t="n">
        <v>45664.2690162037</v>
      </c>
      <c r="G23" s="3" t="inlineStr">
        <is>
          <t>OBT070125064725-Vienna</t>
        </is>
      </c>
      <c r="H23" s="10" t="n">
        <v>45664.28292824074</v>
      </c>
      <c r="I23" s="10" t="n">
        <v>45664.31829861111</v>
      </c>
      <c r="J23" s="10" t="n">
        <v>45664.3190625</v>
      </c>
      <c r="K23" s="11">
        <f>IF(AND(ISNUMBER(D23),ISNUMBER(E23)),(E23-D23),"")</f>
        <v/>
      </c>
      <c r="L23" s="11">
        <f>IF(AND(ISNUMBER(F23),ISNUMBER(I23)),(I23-F23),"")</f>
        <v/>
      </c>
    </row>
    <row r="24">
      <c r="A24" s="3" t="inlineStr">
        <is>
          <t>1200801</t>
        </is>
      </c>
      <c r="B24" s="3" t="inlineStr">
        <is>
          <t>12008</t>
        </is>
      </c>
      <c r="C24" s="10" t="n">
        <v>45664.26527777778</v>
      </c>
      <c r="D24" s="10" t="n">
        <v>45664.26738425926</v>
      </c>
      <c r="E24" s="10" t="n">
        <v>45664.27443287037</v>
      </c>
      <c r="F24" s="10" t="n">
        <v>45664.27630787037</v>
      </c>
      <c r="G24" s="3" t="inlineStr">
        <is>
          <t>OBT070125065726-Vienna</t>
        </is>
      </c>
      <c r="H24" s="10" t="n">
        <v>45664.28988425926</v>
      </c>
      <c r="I24" s="10" t="n">
        <v>45664.34493055556</v>
      </c>
      <c r="J24" s="10" t="n">
        <v>45664.34585648148</v>
      </c>
      <c r="K24" s="11">
        <f>IF(AND(ISNUMBER(D24),ISNUMBER(E24)),(E24-D24),"")</f>
        <v/>
      </c>
      <c r="L24" s="11">
        <f>IF(AND(ISNUMBER(F24),ISNUMBER(I24)),(I24-F24),"")</f>
        <v/>
      </c>
    </row>
    <row r="25">
      <c r="A25" s="3" t="inlineStr">
        <is>
          <t>1200802</t>
        </is>
      </c>
      <c r="B25" s="3" t="inlineStr">
        <is>
          <t>12008</t>
        </is>
      </c>
      <c r="C25" s="10" t="n">
        <v>45664.26527777778</v>
      </c>
      <c r="D25" s="10" t="n">
        <v>45664.26738425926</v>
      </c>
      <c r="E25" s="10" t="n">
        <v>45664.27630787037</v>
      </c>
      <c r="F25" s="10" t="n">
        <v>45664.27836805556</v>
      </c>
      <c r="G25" s="3" t="inlineStr">
        <is>
          <t>OBT070125070322-Graz</t>
        </is>
      </c>
      <c r="H25" s="10" t="n">
        <v>45664.29400462963</v>
      </c>
      <c r="I25" s="10" t="n">
        <v>45664.34054398148</v>
      </c>
      <c r="J25" s="10" t="n">
        <v>45664.34119212963</v>
      </c>
      <c r="K25" s="11">
        <f>IF(AND(ISNUMBER(D25),ISNUMBER(E25)),(E25-D25),"")</f>
        <v/>
      </c>
      <c r="L25" s="11">
        <f>IF(AND(ISNUMBER(F25),ISNUMBER(I25)),(I25-F25),"")</f>
        <v/>
      </c>
    </row>
    <row r="26">
      <c r="A26" s="3" t="inlineStr">
        <is>
          <t>1200803</t>
        </is>
      </c>
      <c r="B26" s="3" t="inlineStr">
        <is>
          <t>12008</t>
        </is>
      </c>
      <c r="C26" s="10" t="n">
        <v>45664.26527777778</v>
      </c>
      <c r="D26" s="10" t="n">
        <v>45664.26738425926</v>
      </c>
      <c r="E26" s="10" t="n">
        <v>45664.27836805556</v>
      </c>
      <c r="F26" s="10" t="n">
        <v>45664.28020833333</v>
      </c>
      <c r="G26" s="3" t="inlineStr">
        <is>
          <t>OBT070125065726-Vienna</t>
        </is>
      </c>
      <c r="H26" s="10" t="n">
        <v>45664.28988425926</v>
      </c>
      <c r="I26" s="10" t="n">
        <v>45664.34493055556</v>
      </c>
      <c r="J26" s="10" t="n">
        <v>45664.34585648148</v>
      </c>
      <c r="K26" s="11">
        <f>IF(AND(ISNUMBER(D26),ISNUMBER(E26)),(E26-D26),"")</f>
        <v/>
      </c>
      <c r="L26" s="11">
        <f>IF(AND(ISNUMBER(F26),ISNUMBER(I26)),(I26-F26),"")</f>
        <v/>
      </c>
    </row>
    <row r="27">
      <c r="A27" s="3" t="inlineStr">
        <is>
          <t>1200901</t>
        </is>
      </c>
      <c r="B27" s="3" t="inlineStr">
        <is>
          <t>12009</t>
        </is>
      </c>
      <c r="C27" s="10" t="n">
        <v>45664.27569444444</v>
      </c>
      <c r="D27" s="10" t="n">
        <v>45664.2771412037</v>
      </c>
      <c r="E27" s="10" t="n">
        <v>45664.28351851852</v>
      </c>
      <c r="F27" s="10" t="n">
        <v>45664.28543981481</v>
      </c>
      <c r="G27" s="3" t="inlineStr">
        <is>
          <t>OBT070125070322-Graz</t>
        </is>
      </c>
      <c r="H27" s="10" t="n">
        <v>45664.29400462963</v>
      </c>
      <c r="I27" s="10" t="n">
        <v>45664.34054398148</v>
      </c>
      <c r="J27" s="10" t="n">
        <v>45664.34119212963</v>
      </c>
      <c r="K27" s="11">
        <f>IF(AND(ISNUMBER(D27),ISNUMBER(E27)),(E27-D27),"")</f>
        <v/>
      </c>
      <c r="L27" s="11">
        <f>IF(AND(ISNUMBER(F27),ISNUMBER(I27)),(I27-F27),"")</f>
        <v/>
      </c>
    </row>
    <row r="28">
      <c r="A28" s="3" t="inlineStr">
        <is>
          <t>1200902</t>
        </is>
      </c>
      <c r="B28" s="3" t="inlineStr">
        <is>
          <t>12009</t>
        </is>
      </c>
      <c r="C28" s="10" t="n">
        <v>45664.27569444444</v>
      </c>
      <c r="D28" s="10" t="n">
        <v>45664.2771412037</v>
      </c>
      <c r="E28" s="10" t="n">
        <v>45664.28543981481</v>
      </c>
      <c r="F28" s="10" t="n">
        <v>45664.28719907408</v>
      </c>
      <c r="G28" s="3" t="inlineStr">
        <is>
          <t>OBT070125074604-Salzburg</t>
        </is>
      </c>
      <c r="H28" s="10" t="n">
        <v>45664.32365740741</v>
      </c>
      <c r="I28" s="10" t="n">
        <v>45664.36728009259</v>
      </c>
      <c r="J28" s="10" t="n">
        <v>45664.36814814815</v>
      </c>
      <c r="K28" s="11">
        <f>IF(AND(ISNUMBER(D28),ISNUMBER(E28)),(E28-D28),"")</f>
        <v/>
      </c>
      <c r="L28" s="11">
        <f>IF(AND(ISNUMBER(F28),ISNUMBER(I28)),(I28-F28),"")</f>
        <v/>
      </c>
    </row>
    <row r="29">
      <c r="A29" s="3" t="inlineStr">
        <is>
          <t>1200903</t>
        </is>
      </c>
      <c r="B29" s="3" t="inlineStr">
        <is>
          <t>12009</t>
        </is>
      </c>
      <c r="C29" s="10" t="n">
        <v>45664.27569444444</v>
      </c>
      <c r="D29" s="10" t="n">
        <v>45664.2771412037</v>
      </c>
      <c r="E29" s="10" t="n">
        <v>45664.28719907408</v>
      </c>
      <c r="F29" s="10" t="n">
        <v>45664.28900462963</v>
      </c>
      <c r="G29" s="3" t="inlineStr">
        <is>
          <t>OBT070125073416-Graz</t>
        </is>
      </c>
      <c r="H29" s="10" t="n">
        <v>45664.31546296296</v>
      </c>
      <c r="I29" s="10" t="n">
        <v>45664.35037037037</v>
      </c>
      <c r="J29" s="10" t="n">
        <v>45664.35121527778</v>
      </c>
      <c r="K29" s="11">
        <f>IF(AND(ISNUMBER(D29),ISNUMBER(E29)),(E29-D29),"")</f>
        <v/>
      </c>
      <c r="L29" s="11">
        <f>IF(AND(ISNUMBER(F29),ISNUMBER(I29)),(I29-F29),"")</f>
        <v/>
      </c>
    </row>
    <row r="30">
      <c r="A30" s="3" t="inlineStr">
        <is>
          <t>1201001</t>
        </is>
      </c>
      <c r="B30" s="3" t="inlineStr">
        <is>
          <t>12010</t>
        </is>
      </c>
      <c r="C30" s="10" t="n">
        <v>45664.28472222222</v>
      </c>
      <c r="D30" s="10" t="n">
        <v>45664.28653935185</v>
      </c>
      <c r="E30" s="10" t="n">
        <v>45664.29178240741</v>
      </c>
      <c r="F30" s="10" t="n">
        <v>45664.29391203704</v>
      </c>
      <c r="G30" s="3" t="inlineStr">
        <is>
          <t>OBT070125170022-Vienna</t>
        </is>
      </c>
      <c r="H30" s="10" t="n">
        <v>45664.70858796296</v>
      </c>
      <c r="I30" s="10" t="n">
        <v>45664.74001157407</v>
      </c>
      <c r="J30" s="10" t="n">
        <v>45664.74097222222</v>
      </c>
      <c r="K30" s="11">
        <f>IF(AND(ISNUMBER(D30),ISNUMBER(E30)),(E30-D30),"")</f>
        <v/>
      </c>
      <c r="L30" s="11">
        <f>IF(AND(ISNUMBER(F30),ISNUMBER(I30)),(I30-F30),"")</f>
        <v/>
      </c>
    </row>
    <row r="31">
      <c r="A31" s="3" t="inlineStr">
        <is>
          <t>1201002</t>
        </is>
      </c>
      <c r="B31" s="3" t="inlineStr">
        <is>
          <t>12010</t>
        </is>
      </c>
      <c r="C31" s="10" t="n">
        <v>45664.28472222222</v>
      </c>
      <c r="D31" s="10" t="n">
        <v>45664.28653935185</v>
      </c>
      <c r="E31" s="10" t="n">
        <v>45664.29178240741</v>
      </c>
      <c r="F31" s="10" t="n">
        <v>45664.29391203704</v>
      </c>
      <c r="G31" s="3" t="inlineStr">
        <is>
          <t>OBT070125170022-Vienna</t>
        </is>
      </c>
      <c r="H31" s="10" t="n">
        <v>45664.70858796296</v>
      </c>
      <c r="I31" s="10" t="n">
        <v>45664.74001157407</v>
      </c>
      <c r="J31" s="10" t="n">
        <v>45664.74097222222</v>
      </c>
      <c r="K31" s="11">
        <f>IF(AND(ISNUMBER(D31),ISNUMBER(E31)),(E31-D31),"")</f>
        <v/>
      </c>
      <c r="L31" s="11">
        <f>IF(AND(ISNUMBER(F31),ISNUMBER(I31)),(I31-F31),"")</f>
        <v/>
      </c>
    </row>
    <row r="32">
      <c r="A32" s="3" t="inlineStr">
        <is>
          <t>1201003</t>
        </is>
      </c>
      <c r="B32" s="3" t="inlineStr">
        <is>
          <t>12010</t>
        </is>
      </c>
      <c r="C32" s="10" t="n">
        <v>45664.28472222222</v>
      </c>
      <c r="D32" s="10" t="n">
        <v>45664.28653935185</v>
      </c>
      <c r="E32" s="10" t="n">
        <v>45664.29178240741</v>
      </c>
      <c r="F32" s="10" t="n">
        <v>45664.29391203704</v>
      </c>
      <c r="G32" s="3" t="inlineStr">
        <is>
          <t>OBT070125170022-Vienna</t>
        </is>
      </c>
      <c r="H32" s="10" t="n">
        <v>45664.70858796296</v>
      </c>
      <c r="I32" s="10" t="n">
        <v>45664.74001157407</v>
      </c>
      <c r="J32" s="10" t="n">
        <v>45664.74097222222</v>
      </c>
      <c r="K32" s="11">
        <f>IF(AND(ISNUMBER(D32),ISNUMBER(E32)),(E32-D32),"")</f>
        <v/>
      </c>
      <c r="L32" s="11">
        <f>IF(AND(ISNUMBER(F32),ISNUMBER(I32)),(I32-F32),"")</f>
        <v/>
      </c>
    </row>
    <row r="33">
      <c r="A33" s="3" t="inlineStr">
        <is>
          <t>1201101</t>
        </is>
      </c>
      <c r="B33" s="3" t="inlineStr">
        <is>
          <t>12011</t>
        </is>
      </c>
      <c r="C33" s="10" t="n">
        <v>45664.29236111111</v>
      </c>
      <c r="D33" s="10" t="n">
        <v>45664.29395833334</v>
      </c>
      <c r="E33" s="10" t="n">
        <v>45664.29988425926</v>
      </c>
      <c r="F33" s="10" t="n">
        <v>45664.30172453704</v>
      </c>
      <c r="G33" s="3" t="inlineStr">
        <is>
          <t>OBT070125073416-Graz</t>
        </is>
      </c>
      <c r="H33" s="10" t="n">
        <v>45664.31546296296</v>
      </c>
      <c r="I33" s="10" t="n">
        <v>45664.35037037037</v>
      </c>
      <c r="J33" s="10" t="n">
        <v>45664.35121527778</v>
      </c>
      <c r="K33" s="11">
        <f>IF(AND(ISNUMBER(D33),ISNUMBER(E33)),(E33-D33),"")</f>
        <v/>
      </c>
      <c r="L33" s="11">
        <f>IF(AND(ISNUMBER(F33),ISNUMBER(I33)),(I33-F33),"")</f>
        <v/>
      </c>
    </row>
    <row r="34">
      <c r="A34" s="3" t="inlineStr">
        <is>
          <t>1201102</t>
        </is>
      </c>
      <c r="B34" s="3" t="inlineStr">
        <is>
          <t>12011</t>
        </is>
      </c>
      <c r="C34" s="10" t="n">
        <v>45664.29236111111</v>
      </c>
      <c r="D34" s="10" t="n">
        <v>45664.29395833334</v>
      </c>
      <c r="E34" s="10" t="n">
        <v>45664.29988425926</v>
      </c>
      <c r="F34" s="10" t="n">
        <v>45664.30172453704</v>
      </c>
      <c r="G34" s="3" t="inlineStr">
        <is>
          <t>OBT070125073416-Graz</t>
        </is>
      </c>
      <c r="H34" s="10" t="n">
        <v>45664.31546296296</v>
      </c>
      <c r="I34" s="10" t="n">
        <v>45664.35037037037</v>
      </c>
      <c r="J34" s="10" t="n">
        <v>45664.35121527778</v>
      </c>
      <c r="K34" s="11">
        <f>IF(AND(ISNUMBER(D34),ISNUMBER(E34)),(E34-D34),"")</f>
        <v/>
      </c>
      <c r="L34" s="11">
        <f>IF(AND(ISNUMBER(F34),ISNUMBER(I34)),(I34-F34),"")</f>
        <v/>
      </c>
    </row>
    <row r="35">
      <c r="A35" s="3" t="inlineStr">
        <is>
          <t>1201103</t>
        </is>
      </c>
      <c r="B35" s="3" t="inlineStr">
        <is>
          <t>12011</t>
        </is>
      </c>
      <c r="C35" s="10" t="n">
        <v>45664.29236111111</v>
      </c>
      <c r="D35" s="10" t="n">
        <v>45664.29395833334</v>
      </c>
      <c r="E35" s="10" t="n">
        <v>45664.30172453704</v>
      </c>
      <c r="F35" s="10" t="n">
        <v>45664.30368055555</v>
      </c>
      <c r="G35" s="3" t="inlineStr">
        <is>
          <t>OBT070125074604-Salzburg</t>
        </is>
      </c>
      <c r="H35" s="10" t="n">
        <v>45664.32365740741</v>
      </c>
      <c r="I35" s="10" t="n">
        <v>45664.36728009259</v>
      </c>
      <c r="J35" s="10" t="n">
        <v>45664.36814814815</v>
      </c>
      <c r="K35" s="11">
        <f>IF(AND(ISNUMBER(D35),ISNUMBER(E35)),(E35-D35),"")</f>
        <v/>
      </c>
      <c r="L35" s="11">
        <f>IF(AND(ISNUMBER(F35),ISNUMBER(I35)),(I35-F35),"")</f>
        <v/>
      </c>
    </row>
    <row r="36">
      <c r="A36" s="3" t="inlineStr">
        <is>
          <t>1201104</t>
        </is>
      </c>
      <c r="B36" s="3" t="inlineStr">
        <is>
          <t>12011</t>
        </is>
      </c>
      <c r="C36" s="10" t="n">
        <v>45664.29236111111</v>
      </c>
      <c r="D36" s="10" t="n">
        <v>45664.29395833334</v>
      </c>
      <c r="E36" s="10" t="n">
        <v>45664.30172453704</v>
      </c>
      <c r="F36" s="10" t="n">
        <v>45664.30368055555</v>
      </c>
      <c r="G36" s="3" t="inlineStr">
        <is>
          <t>OBT070125074604-Salzburg</t>
        </is>
      </c>
      <c r="H36" s="10" t="n">
        <v>45664.32365740741</v>
      </c>
      <c r="I36" s="10" t="n">
        <v>45664.36728009259</v>
      </c>
      <c r="J36" s="10" t="n">
        <v>45664.36814814815</v>
      </c>
      <c r="K36" s="11">
        <f>IF(AND(ISNUMBER(D36),ISNUMBER(E36)),(E36-D36),"")</f>
        <v/>
      </c>
      <c r="L36" s="11">
        <f>IF(AND(ISNUMBER(F36),ISNUMBER(I36)),(I36-F36),"")</f>
        <v/>
      </c>
    </row>
    <row r="37">
      <c r="A37" s="3" t="inlineStr">
        <is>
          <t>1201201</t>
        </is>
      </c>
      <c r="B37" s="3" t="inlineStr">
        <is>
          <t>12012</t>
        </is>
      </c>
      <c r="C37" s="10" t="n">
        <v>45664.54166666666</v>
      </c>
      <c r="D37" s="10" t="n">
        <v>45664.54355324074</v>
      </c>
      <c r="E37" s="10" t="n">
        <v>45664.54918981482</v>
      </c>
      <c r="F37" s="10" t="n">
        <v>45664.55061342593</v>
      </c>
      <c r="G37" s="3" t="inlineStr">
        <is>
          <t>OBT070125133255-Linz</t>
        </is>
      </c>
      <c r="H37" s="10" t="n">
        <v>45664.56452546296</v>
      </c>
      <c r="I37" s="10" t="n">
        <v>45664.58759259259</v>
      </c>
      <c r="J37" s="10" t="n">
        <v>45664.58835648148</v>
      </c>
      <c r="K37" s="11">
        <f>IF(AND(ISNUMBER(D37),ISNUMBER(E37)),(E37-D37),"")</f>
        <v/>
      </c>
      <c r="L37" s="11">
        <f>IF(AND(ISNUMBER(F37),ISNUMBER(I37)),(I37-F37),"")</f>
        <v/>
      </c>
    </row>
    <row r="38">
      <c r="A38" s="3" t="inlineStr">
        <is>
          <t>1201202</t>
        </is>
      </c>
      <c r="B38" s="3" t="inlineStr">
        <is>
          <t>12012</t>
        </is>
      </c>
      <c r="C38" s="10" t="n">
        <v>45664.54166666666</v>
      </c>
      <c r="D38" s="10" t="n">
        <v>45664.54355324074</v>
      </c>
      <c r="E38" s="10" t="n">
        <v>45664.54918981482</v>
      </c>
      <c r="F38" s="10" t="n">
        <v>45664.55061342593</v>
      </c>
      <c r="G38" s="3" t="inlineStr">
        <is>
          <t>OBT070125133255-Linz</t>
        </is>
      </c>
      <c r="H38" s="10" t="n">
        <v>45664.56452546296</v>
      </c>
      <c r="I38" s="10" t="n">
        <v>45664.58759259259</v>
      </c>
      <c r="J38" s="10" t="n">
        <v>45664.58835648148</v>
      </c>
      <c r="K38" s="11">
        <f>IF(AND(ISNUMBER(D38),ISNUMBER(E38)),(E38-D38),"")</f>
        <v/>
      </c>
      <c r="L38" s="11">
        <f>IF(AND(ISNUMBER(F38),ISNUMBER(I38)),(I38-F38),"")</f>
        <v/>
      </c>
    </row>
    <row r="39">
      <c r="A39" s="3" t="inlineStr">
        <is>
          <t>1201203</t>
        </is>
      </c>
      <c r="B39" s="3" t="inlineStr">
        <is>
          <t>12012</t>
        </is>
      </c>
      <c r="C39" s="10" t="n">
        <v>45664.54166666666</v>
      </c>
      <c r="D39" s="10" t="n">
        <v>45664.54355324074</v>
      </c>
      <c r="E39" s="10" t="n">
        <v>45664.54918981482</v>
      </c>
      <c r="F39" s="10" t="n">
        <v>45664.55061342593</v>
      </c>
      <c r="G39" s="3" t="inlineStr">
        <is>
          <t>OBT070125133255-Linz</t>
        </is>
      </c>
      <c r="H39" s="10" t="n">
        <v>45664.56452546296</v>
      </c>
      <c r="I39" s="10" t="n">
        <v>45664.58759259259</v>
      </c>
      <c r="J39" s="10" t="n">
        <v>45664.58835648148</v>
      </c>
      <c r="K39" s="11">
        <f>IF(AND(ISNUMBER(D39),ISNUMBER(E39)),(E39-D39),"")</f>
        <v/>
      </c>
      <c r="L39" s="11">
        <f>IF(AND(ISNUMBER(F39),ISNUMBER(I39)),(I39-F39),"")</f>
        <v/>
      </c>
    </row>
    <row r="40">
      <c r="A40" s="3" t="inlineStr">
        <is>
          <t>1201301</t>
        </is>
      </c>
      <c r="B40" s="3" t="inlineStr">
        <is>
          <t>12013</t>
        </is>
      </c>
      <c r="C40" s="10" t="n">
        <v>45664.6875</v>
      </c>
      <c r="D40" s="10" t="n">
        <v>45664.68927083333</v>
      </c>
      <c r="E40" s="10" t="n">
        <v>45664.69460648148</v>
      </c>
      <c r="F40" s="10" t="n">
        <v>45664.69671296296</v>
      </c>
      <c r="G40" s="3" t="inlineStr">
        <is>
          <t>OBT070125170022-Vienna</t>
        </is>
      </c>
      <c r="H40" s="10" t="n">
        <v>45664.70858796296</v>
      </c>
      <c r="I40" s="10" t="n">
        <v>45664.74001157407</v>
      </c>
      <c r="J40" s="10" t="n">
        <v>45664.74097222222</v>
      </c>
      <c r="K40" s="11">
        <f>IF(AND(ISNUMBER(D40),ISNUMBER(E40)),(E40-D40),"")</f>
        <v/>
      </c>
      <c r="L40" s="11">
        <f>IF(AND(ISNUMBER(F40),ISNUMBER(I40)),(I40-F40),"")</f>
        <v/>
      </c>
    </row>
    <row r="41">
      <c r="A41" s="3" t="inlineStr">
        <is>
          <t>1201302</t>
        </is>
      </c>
      <c r="B41" s="3" t="inlineStr">
        <is>
          <t>12013</t>
        </is>
      </c>
      <c r="C41" s="10" t="n">
        <v>45664.6875</v>
      </c>
      <c r="D41" s="10" t="n">
        <v>45664.68927083333</v>
      </c>
      <c r="E41" s="10" t="n">
        <v>45664.69460648148</v>
      </c>
      <c r="F41" s="10" t="n">
        <v>45664.69671296296</v>
      </c>
      <c r="G41" s="3" t="inlineStr">
        <is>
          <t>OBT070125170022-Vienna</t>
        </is>
      </c>
      <c r="H41" s="10" t="n">
        <v>45664.70858796296</v>
      </c>
      <c r="I41" s="10" t="n">
        <v>45664.74001157407</v>
      </c>
      <c r="J41" s="10" t="n">
        <v>45664.74097222222</v>
      </c>
      <c r="K41" s="11">
        <f>IF(AND(ISNUMBER(D41),ISNUMBER(E41)),(E41-D41),"")</f>
        <v/>
      </c>
      <c r="L41" s="11">
        <f>IF(AND(ISNUMBER(F41),ISNUMBER(I41)),(I41-F41),"")</f>
        <v/>
      </c>
    </row>
    <row r="42">
      <c r="A42" s="3" t="inlineStr">
        <is>
          <t>1201401</t>
        </is>
      </c>
      <c r="B42" s="3" t="inlineStr">
        <is>
          <t>12014</t>
        </is>
      </c>
      <c r="C42" s="10" t="n">
        <v>45664.83333333334</v>
      </c>
      <c r="D42" s="10" t="n">
        <v>45664.83469907408</v>
      </c>
      <c r="E42" s="10" t="n">
        <v>45664.83984953703</v>
      </c>
      <c r="F42" s="10" t="n">
        <v>45664.84140046296</v>
      </c>
      <c r="G42" s="3" t="inlineStr">
        <is>
          <t>OBT080125061853-Salzburg</t>
        </is>
      </c>
      <c r="H42" s="10" t="n">
        <v>45665.26311342593</v>
      </c>
      <c r="I42" s="10" t="n">
        <v>45665.2862037037</v>
      </c>
      <c r="J42" s="10" t="n">
        <v>45665.28695601852</v>
      </c>
      <c r="K42" s="11">
        <f>IF(AND(ISNUMBER(D42),ISNUMBER(E42)),(E42-D42),"")</f>
        <v/>
      </c>
      <c r="L42" s="11">
        <f>IF(AND(ISNUMBER(F42),ISNUMBER(I42)),(I42-F42),"")</f>
        <v/>
      </c>
    </row>
    <row r="43">
      <c r="A43" s="3" t="inlineStr">
        <is>
          <t>1201402</t>
        </is>
      </c>
      <c r="B43" s="3" t="inlineStr">
        <is>
          <t>12014</t>
        </is>
      </c>
      <c r="C43" s="10" t="n">
        <v>45664.83333333334</v>
      </c>
      <c r="D43" s="10" t="n">
        <v>45664.83469907408</v>
      </c>
      <c r="E43" s="10" t="n">
        <v>45664.84140046296</v>
      </c>
      <c r="F43" s="10" t="n">
        <v>45664.84306712963</v>
      </c>
      <c r="G43" s="3" t="inlineStr">
        <is>
          <t>OBT080125061351-Vienna</t>
        </is>
      </c>
      <c r="H43" s="10" t="n">
        <v>45665.25961805556</v>
      </c>
      <c r="I43" s="10" t="n">
        <v>45665.28270833333</v>
      </c>
      <c r="J43" s="10" t="n">
        <v>45665.2834375</v>
      </c>
      <c r="K43" s="11">
        <f>IF(AND(ISNUMBER(D43),ISNUMBER(E43)),(E43-D43),"")</f>
        <v/>
      </c>
      <c r="L43" s="11">
        <f>IF(AND(ISNUMBER(F43),ISNUMBER(I43)),(I43-F43),"")</f>
        <v/>
      </c>
    </row>
    <row r="44">
      <c r="A44" s="3" t="inlineStr">
        <is>
          <t>1201701</t>
        </is>
      </c>
      <c r="B44" s="3" t="inlineStr">
        <is>
          <t>12017</t>
        </is>
      </c>
      <c r="C44" s="10" t="n">
        <v>45665.22916666666</v>
      </c>
      <c r="D44" s="10" t="n">
        <v>45665.2305324074</v>
      </c>
      <c r="E44" s="10" t="n">
        <v>45665.23659722223</v>
      </c>
      <c r="F44" s="10" t="n">
        <v>45665.23891203704</v>
      </c>
      <c r="G44" s="3" t="inlineStr">
        <is>
          <t>OBT100125080623-Klagenfurt</t>
        </is>
      </c>
      <c r="H44" s="10" t="n">
        <v>45667.3377662037</v>
      </c>
      <c r="I44" s="10" t="n">
        <v>45667.36085648148</v>
      </c>
      <c r="J44" s="10" t="n">
        <v>45667.36155092593</v>
      </c>
      <c r="K44" s="11">
        <f>IF(AND(ISNUMBER(D44),ISNUMBER(E44)),(E44-D44),"")</f>
        <v/>
      </c>
      <c r="L44" s="11">
        <f>IF(AND(ISNUMBER(F44),ISNUMBER(I44)),(I44-F44),"")</f>
        <v/>
      </c>
    </row>
    <row r="45">
      <c r="A45" s="3" t="inlineStr">
        <is>
          <t>1201702</t>
        </is>
      </c>
      <c r="B45" s="3" t="inlineStr">
        <is>
          <t>12017</t>
        </is>
      </c>
      <c r="C45" s="10" t="n">
        <v>45665.22916666666</v>
      </c>
      <c r="D45" s="10" t="n">
        <v>45665.2305324074</v>
      </c>
      <c r="E45" s="10" t="n">
        <v>45665.23891203704</v>
      </c>
      <c r="F45" s="10" t="n">
        <v>45665.24133101852</v>
      </c>
      <c r="G45" s="3" t="inlineStr">
        <is>
          <t>OBT080125094940-Budapest</t>
        </is>
      </c>
      <c r="H45" s="10" t="n">
        <v>45665.40949074074</v>
      </c>
      <c r="I45" s="10" t="n">
        <v>45665.44091435185</v>
      </c>
      <c r="J45" s="10" t="n">
        <v>45665.44181712963</v>
      </c>
      <c r="K45" s="11">
        <f>IF(AND(ISNUMBER(D45),ISNUMBER(E45)),(E45-D45),"")</f>
        <v/>
      </c>
      <c r="L45" s="11">
        <f>IF(AND(ISNUMBER(F45),ISNUMBER(I45)),(I45-F45),"")</f>
        <v/>
      </c>
    </row>
    <row r="46">
      <c r="A46" s="3" t="inlineStr">
        <is>
          <t>1201601</t>
        </is>
      </c>
      <c r="B46" s="3" t="inlineStr">
        <is>
          <t>12016</t>
        </is>
      </c>
      <c r="C46" s="10" t="n">
        <v>45665.22916666666</v>
      </c>
      <c r="D46" s="10" t="n">
        <v>45665.23054398148</v>
      </c>
      <c r="E46" s="10" t="n">
        <v>45665.24219907408</v>
      </c>
      <c r="F46" s="10" t="n">
        <v>45665.24407407407</v>
      </c>
      <c r="G46" s="3" t="inlineStr">
        <is>
          <t>OBT080125095423-Graz</t>
        </is>
      </c>
      <c r="H46" s="10" t="n">
        <v>45665.41276620371</v>
      </c>
      <c r="I46" s="10" t="n">
        <v>45665.45614583333</v>
      </c>
      <c r="J46" s="10" t="n">
        <v>45665.45729166667</v>
      </c>
      <c r="K46" s="11">
        <f>IF(AND(ISNUMBER(D46),ISNUMBER(E46)),(E46-D46),"")</f>
        <v/>
      </c>
      <c r="L46" s="11">
        <f>IF(AND(ISNUMBER(F46),ISNUMBER(I46)),(I46-F46),"")</f>
        <v/>
      </c>
    </row>
    <row r="47">
      <c r="A47" s="3" t="inlineStr">
        <is>
          <t>1201602</t>
        </is>
      </c>
      <c r="B47" s="3" t="inlineStr">
        <is>
          <t>12016</t>
        </is>
      </c>
      <c r="C47" s="10" t="n">
        <v>45665.22916666666</v>
      </c>
      <c r="D47" s="10" t="n">
        <v>45665.23054398148</v>
      </c>
      <c r="E47" s="10" t="n">
        <v>45665.24219907408</v>
      </c>
      <c r="F47" s="10" t="n">
        <v>45665.24407407407</v>
      </c>
      <c r="G47" s="3" t="inlineStr">
        <is>
          <t>OBT080125095423-Graz</t>
        </is>
      </c>
      <c r="H47" s="10" t="n">
        <v>45665.41276620371</v>
      </c>
      <c r="I47" s="10" t="n">
        <v>45665.45614583333</v>
      </c>
      <c r="J47" s="10" t="n">
        <v>45665.45729166667</v>
      </c>
      <c r="K47" s="11">
        <f>IF(AND(ISNUMBER(D47),ISNUMBER(E47)),(E47-D47),"")</f>
        <v/>
      </c>
      <c r="L47" s="11">
        <f>IF(AND(ISNUMBER(F47),ISNUMBER(I47)),(I47-F47),"")</f>
        <v/>
      </c>
    </row>
    <row r="48">
      <c r="A48" s="3" t="inlineStr">
        <is>
          <t>1201501</t>
        </is>
      </c>
      <c r="B48" s="3" t="inlineStr">
        <is>
          <t>12015</t>
        </is>
      </c>
      <c r="C48" s="10" t="n">
        <v>45665.22916666666</v>
      </c>
      <c r="D48" s="10" t="n">
        <v>45665.2312037037</v>
      </c>
      <c r="E48" s="10" t="n">
        <v>45665.24494212963</v>
      </c>
      <c r="F48" s="10" t="n">
        <v>45665.24626157407</v>
      </c>
      <c r="G48" s="3" t="inlineStr">
        <is>
          <t>OBT080125061351-Vienna</t>
        </is>
      </c>
      <c r="H48" s="10" t="n">
        <v>45665.25961805556</v>
      </c>
      <c r="I48" s="10" t="n">
        <v>45665.28270833333</v>
      </c>
      <c r="J48" s="10" t="n">
        <v>45665.2834375</v>
      </c>
      <c r="K48" s="11">
        <f>IF(AND(ISNUMBER(D48),ISNUMBER(E48)),(E48-D48),"")</f>
        <v/>
      </c>
      <c r="L48" s="11">
        <f>IF(AND(ISNUMBER(F48),ISNUMBER(I48)),(I48-F48),"")</f>
        <v/>
      </c>
    </row>
    <row r="49">
      <c r="A49" s="3" t="inlineStr">
        <is>
          <t>1201502</t>
        </is>
      </c>
      <c r="B49" s="3" t="inlineStr">
        <is>
          <t>12015</t>
        </is>
      </c>
      <c r="C49" s="10" t="n">
        <v>45665.22916666666</v>
      </c>
      <c r="D49" s="10" t="n">
        <v>45665.2312037037</v>
      </c>
      <c r="E49" s="10" t="n">
        <v>45665.24626157407</v>
      </c>
      <c r="F49" s="10" t="n">
        <v>45665.24760416667</v>
      </c>
      <c r="G49" s="3" t="inlineStr">
        <is>
          <t>OBT080125061853-Salzburg</t>
        </is>
      </c>
      <c r="H49" s="10" t="n">
        <v>45665.26311342593</v>
      </c>
      <c r="I49" s="10" t="n">
        <v>45665.2862037037</v>
      </c>
      <c r="J49" s="10" t="n">
        <v>45665.28695601852</v>
      </c>
      <c r="K49" s="11">
        <f>IF(AND(ISNUMBER(D49),ISNUMBER(E49)),(E49-D49),"")</f>
        <v/>
      </c>
      <c r="L49" s="11">
        <f>IF(AND(ISNUMBER(F49),ISNUMBER(I49)),(I49-F49),"")</f>
        <v/>
      </c>
    </row>
    <row r="50">
      <c r="A50" s="3" t="inlineStr">
        <is>
          <t>1201503</t>
        </is>
      </c>
      <c r="B50" s="3" t="inlineStr">
        <is>
          <t>12015</t>
        </is>
      </c>
      <c r="C50" s="10" t="n">
        <v>45665.22916666666</v>
      </c>
      <c r="D50" s="10" t="n">
        <v>45665.2312037037</v>
      </c>
      <c r="E50" s="10" t="n">
        <v>45665.24626157407</v>
      </c>
      <c r="F50" s="10" t="n">
        <v>45665.24760416667</v>
      </c>
      <c r="G50" s="3" t="inlineStr">
        <is>
          <t>OBT080125061853-Salzburg</t>
        </is>
      </c>
      <c r="H50" s="10" t="n">
        <v>45665.26311342593</v>
      </c>
      <c r="I50" s="10" t="n">
        <v>45665.2862037037</v>
      </c>
      <c r="J50" s="10" t="n">
        <v>45665.28695601852</v>
      </c>
      <c r="K50" s="11">
        <f>IF(AND(ISNUMBER(D50),ISNUMBER(E50)),(E50-D50),"")</f>
        <v/>
      </c>
      <c r="L50" s="11">
        <f>IF(AND(ISNUMBER(F50),ISNUMBER(I50)),(I50-F50),"")</f>
        <v/>
      </c>
    </row>
    <row r="51">
      <c r="A51" s="3" t="inlineStr">
        <is>
          <t>1201504</t>
        </is>
      </c>
      <c r="B51" s="3" t="inlineStr">
        <is>
          <t>12015</t>
        </is>
      </c>
      <c r="C51" s="10" t="n">
        <v>45665.22916666666</v>
      </c>
      <c r="D51" s="10" t="n">
        <v>45665.2312037037</v>
      </c>
      <c r="E51" s="10" t="n">
        <v>45665.24760416667</v>
      </c>
      <c r="F51" s="10" t="n">
        <v>45665.24899305555</v>
      </c>
      <c r="G51" s="3" t="inlineStr">
        <is>
          <t>OBT080125061351-Vienna</t>
        </is>
      </c>
      <c r="H51" s="10" t="n">
        <v>45665.25961805556</v>
      </c>
      <c r="I51" s="10" t="n">
        <v>45665.28270833333</v>
      </c>
      <c r="J51" s="10" t="n">
        <v>45665.2834375</v>
      </c>
      <c r="K51" s="11">
        <f>IF(AND(ISNUMBER(D51),ISNUMBER(E51)),(E51-D51),"")</f>
        <v/>
      </c>
      <c r="L51" s="11">
        <f>IF(AND(ISNUMBER(F51),ISNUMBER(I51)),(I51-F51),"")</f>
        <v/>
      </c>
    </row>
    <row r="52">
      <c r="A52" s="3" t="inlineStr">
        <is>
          <t>1201801</t>
        </is>
      </c>
      <c r="B52" s="3" t="inlineStr">
        <is>
          <t>12018</t>
        </is>
      </c>
      <c r="C52" s="10" t="n">
        <v>45665.375</v>
      </c>
      <c r="D52" s="10" t="n">
        <v>45665.37700231482</v>
      </c>
      <c r="E52" s="10" t="n">
        <v>45665.38309027778</v>
      </c>
      <c r="F52" s="10" t="n">
        <v>45665.38429398148</v>
      </c>
      <c r="G52" s="3" t="inlineStr">
        <is>
          <t>OBT080125145710-Innsbruck</t>
        </is>
      </c>
      <c r="H52" s="10" t="n">
        <v>45665.62303240741</v>
      </c>
      <c r="I52" s="10" t="n">
        <v>45665.64890046296</v>
      </c>
      <c r="J52" s="10" t="n">
        <v>45665.64969907407</v>
      </c>
      <c r="K52" s="11">
        <f>IF(AND(ISNUMBER(D52),ISNUMBER(E52)),(E52-D52),"")</f>
        <v/>
      </c>
      <c r="L52" s="11">
        <f>IF(AND(ISNUMBER(F52),ISNUMBER(I52)),(I52-F52),"")</f>
        <v/>
      </c>
    </row>
    <row r="53">
      <c r="A53" s="3" t="inlineStr">
        <is>
          <t>1201802</t>
        </is>
      </c>
      <c r="B53" s="3" t="inlineStr">
        <is>
          <t>12018</t>
        </is>
      </c>
      <c r="C53" s="10" t="n">
        <v>45665.375</v>
      </c>
      <c r="D53" s="10" t="n">
        <v>45665.37700231482</v>
      </c>
      <c r="E53" s="10" t="n">
        <v>45665.38429398148</v>
      </c>
      <c r="F53" s="10" t="n">
        <v>45665.38662037037</v>
      </c>
      <c r="G53" s="3" t="inlineStr">
        <is>
          <t>OBT080125094940-Budapest</t>
        </is>
      </c>
      <c r="H53" s="10" t="n">
        <v>45665.40949074074</v>
      </c>
      <c r="I53" s="10" t="n">
        <v>45665.44091435185</v>
      </c>
      <c r="J53" s="10" t="n">
        <v>45665.44181712963</v>
      </c>
      <c r="K53" s="11">
        <f>IF(AND(ISNUMBER(D53),ISNUMBER(E53)),(E53-D53),"")</f>
        <v/>
      </c>
      <c r="L53" s="11">
        <f>IF(AND(ISNUMBER(F53),ISNUMBER(I53)),(I53-F53),"")</f>
        <v/>
      </c>
    </row>
    <row r="54">
      <c r="A54" s="3" t="inlineStr">
        <is>
          <t>1201803</t>
        </is>
      </c>
      <c r="B54" s="3" t="inlineStr">
        <is>
          <t>12018</t>
        </is>
      </c>
      <c r="C54" s="10" t="n">
        <v>45665.375</v>
      </c>
      <c r="D54" s="10" t="n">
        <v>45665.37700231482</v>
      </c>
      <c r="E54" s="10" t="n">
        <v>45665.38429398148</v>
      </c>
      <c r="F54" s="10" t="n">
        <v>45665.38662037037</v>
      </c>
      <c r="G54" s="3" t="inlineStr">
        <is>
          <t>OBT080125094940-Budapest</t>
        </is>
      </c>
      <c r="H54" s="10" t="n">
        <v>45665.40949074074</v>
      </c>
      <c r="I54" s="10" t="n">
        <v>45665.44091435185</v>
      </c>
      <c r="J54" s="10" t="n">
        <v>45665.44181712963</v>
      </c>
      <c r="K54" s="11">
        <f>IF(AND(ISNUMBER(D54),ISNUMBER(E54)),(E54-D54),"")</f>
        <v/>
      </c>
      <c r="L54" s="11">
        <f>IF(AND(ISNUMBER(F54),ISNUMBER(I54)),(I54-F54),"")</f>
        <v/>
      </c>
    </row>
    <row r="55">
      <c r="A55" s="3" t="inlineStr">
        <is>
          <t>1201804</t>
        </is>
      </c>
      <c r="B55" s="3" t="inlineStr">
        <is>
          <t>12018</t>
        </is>
      </c>
      <c r="C55" s="10" t="n">
        <v>45665.375</v>
      </c>
      <c r="D55" s="10" t="n">
        <v>45665.37700231482</v>
      </c>
      <c r="E55" s="10" t="n">
        <v>45665.38429398148</v>
      </c>
      <c r="F55" s="10" t="n">
        <v>45665.38662037037</v>
      </c>
      <c r="G55" s="3" t="inlineStr">
        <is>
          <t>OBT080125094940-Budapest</t>
        </is>
      </c>
      <c r="H55" s="10" t="n">
        <v>45665.40949074074</v>
      </c>
      <c r="I55" s="10" t="n">
        <v>45665.44091435185</v>
      </c>
      <c r="J55" s="10" t="n">
        <v>45665.44181712963</v>
      </c>
      <c r="K55" s="11">
        <f>IF(AND(ISNUMBER(D55),ISNUMBER(E55)),(E55-D55),"")</f>
        <v/>
      </c>
      <c r="L55" s="11">
        <f>IF(AND(ISNUMBER(F55),ISNUMBER(I55)),(I55-F55),"")</f>
        <v/>
      </c>
    </row>
    <row r="56">
      <c r="A56" s="3" t="inlineStr">
        <is>
          <t>1201805</t>
        </is>
      </c>
      <c r="B56" s="3" t="inlineStr">
        <is>
          <t>12018</t>
        </is>
      </c>
      <c r="C56" s="10" t="n">
        <v>45665.375</v>
      </c>
      <c r="D56" s="10" t="n">
        <v>45665.37700231482</v>
      </c>
      <c r="E56" s="10" t="n">
        <v>45665.38429398148</v>
      </c>
      <c r="F56" s="10" t="n">
        <v>45665.38662037037</v>
      </c>
      <c r="G56" s="3" t="inlineStr">
        <is>
          <t>OBT080125094940-Budapest</t>
        </is>
      </c>
      <c r="H56" s="10" t="n">
        <v>45665.40949074074</v>
      </c>
      <c r="I56" s="10" t="n">
        <v>45665.44091435185</v>
      </c>
      <c r="J56" s="10" t="n">
        <v>45665.44181712963</v>
      </c>
      <c r="K56" s="11">
        <f>IF(AND(ISNUMBER(D56),ISNUMBER(E56)),(E56-D56),"")</f>
        <v/>
      </c>
      <c r="L56" s="11">
        <f>IF(AND(ISNUMBER(F56),ISNUMBER(I56)),(I56-F56),"")</f>
        <v/>
      </c>
    </row>
    <row r="57">
      <c r="A57" s="3" t="inlineStr">
        <is>
          <t>1201901</t>
        </is>
      </c>
      <c r="B57" s="3" t="inlineStr">
        <is>
          <t>12019</t>
        </is>
      </c>
      <c r="C57" s="10" t="n">
        <v>45665.38055555556</v>
      </c>
      <c r="D57" s="10" t="n">
        <v>45665.38203703704</v>
      </c>
      <c r="E57" s="10" t="n">
        <v>45665.38791666667</v>
      </c>
      <c r="F57" s="10" t="n">
        <v>45665.38991898148</v>
      </c>
      <c r="G57" s="3" t="inlineStr">
        <is>
          <t>OBT080125095423-Graz</t>
        </is>
      </c>
      <c r="H57" s="10" t="n">
        <v>45665.41276620371</v>
      </c>
      <c r="I57" s="10" t="n">
        <v>45665.45614583333</v>
      </c>
      <c r="J57" s="10" t="n">
        <v>45665.45729166667</v>
      </c>
      <c r="K57" s="11">
        <f>IF(AND(ISNUMBER(D57),ISNUMBER(E57)),(E57-D57),"")</f>
        <v/>
      </c>
      <c r="L57" s="11">
        <f>IF(AND(ISNUMBER(F57),ISNUMBER(I57)),(I57-F57),"")</f>
        <v/>
      </c>
    </row>
    <row r="58">
      <c r="A58" s="3" t="inlineStr">
        <is>
          <t>1201902</t>
        </is>
      </c>
      <c r="B58" s="3" t="inlineStr">
        <is>
          <t>12019</t>
        </is>
      </c>
      <c r="C58" s="10" t="n">
        <v>45665.38055555556</v>
      </c>
      <c r="D58" s="10" t="n">
        <v>45665.38203703704</v>
      </c>
      <c r="E58" s="10" t="n">
        <v>45665.38791666667</v>
      </c>
      <c r="F58" s="10" t="n">
        <v>45665.38991898148</v>
      </c>
      <c r="G58" s="3" t="inlineStr">
        <is>
          <t>OBT080125095423-Graz</t>
        </is>
      </c>
      <c r="H58" s="10" t="n">
        <v>45665.41276620371</v>
      </c>
      <c r="I58" s="10" t="n">
        <v>45665.45614583333</v>
      </c>
      <c r="J58" s="10" t="n">
        <v>45665.45729166667</v>
      </c>
      <c r="K58" s="11">
        <f>IF(AND(ISNUMBER(D58),ISNUMBER(E58)),(E58-D58),"")</f>
        <v/>
      </c>
      <c r="L58" s="11">
        <f>IF(AND(ISNUMBER(F58),ISNUMBER(I58)),(I58-F58),"")</f>
        <v/>
      </c>
    </row>
    <row r="59">
      <c r="A59" s="3" t="inlineStr">
        <is>
          <t>1201903</t>
        </is>
      </c>
      <c r="B59" s="3" t="inlineStr">
        <is>
          <t>12019</t>
        </is>
      </c>
      <c r="C59" s="10" t="n">
        <v>45665.38055555556</v>
      </c>
      <c r="D59" s="10" t="n">
        <v>45665.38203703704</v>
      </c>
      <c r="E59" s="10" t="n">
        <v>45665.38791666667</v>
      </c>
      <c r="F59" s="10" t="n">
        <v>45665.38991898148</v>
      </c>
      <c r="G59" s="3" t="inlineStr">
        <is>
          <t>OBT080125095423-Graz</t>
        </is>
      </c>
      <c r="H59" s="10" t="n">
        <v>45665.41276620371</v>
      </c>
      <c r="I59" s="10" t="n">
        <v>45665.45614583333</v>
      </c>
      <c r="J59" s="10" t="n">
        <v>45665.45729166667</v>
      </c>
      <c r="K59" s="11">
        <f>IF(AND(ISNUMBER(D59),ISNUMBER(E59)),(E59-D59),"")</f>
        <v/>
      </c>
      <c r="L59" s="11">
        <f>IF(AND(ISNUMBER(F59),ISNUMBER(I59)),(I59-F59),"")</f>
        <v/>
      </c>
    </row>
    <row r="60">
      <c r="A60" s="3" t="inlineStr">
        <is>
          <t>1202001</t>
        </is>
      </c>
      <c r="B60" s="3" t="inlineStr">
        <is>
          <t>12020</t>
        </is>
      </c>
      <c r="C60" s="10" t="n">
        <v>45665.39652777778</v>
      </c>
      <c r="D60" s="10" t="n">
        <v>45665.39856481482</v>
      </c>
      <c r="E60" s="10" t="n">
        <v>45665.40461805555</v>
      </c>
      <c r="F60" s="10" t="n">
        <v>45665.40592592592</v>
      </c>
      <c r="G60" s="3" t="inlineStr">
        <is>
          <t>OBT080125111223-Budapest</t>
        </is>
      </c>
      <c r="H60" s="10" t="n">
        <v>45665.46693287037</v>
      </c>
      <c r="I60" s="10" t="n">
        <v>45665.50387731481</v>
      </c>
      <c r="J60" s="10" t="n">
        <v>45665.50479166667</v>
      </c>
      <c r="K60" s="11">
        <f>IF(AND(ISNUMBER(D60),ISNUMBER(E60)),(E60-D60),"")</f>
        <v/>
      </c>
      <c r="L60" s="11">
        <f>IF(AND(ISNUMBER(F60),ISNUMBER(I60)),(I60-F60),"")</f>
        <v/>
      </c>
    </row>
    <row r="61">
      <c r="A61" s="3" t="inlineStr">
        <is>
          <t>1202002</t>
        </is>
      </c>
      <c r="B61" s="3" t="inlineStr">
        <is>
          <t>12020</t>
        </is>
      </c>
      <c r="C61" s="10" t="n">
        <v>45665.39652777778</v>
      </c>
      <c r="D61" s="10" t="n">
        <v>45665.39856481482</v>
      </c>
      <c r="E61" s="10" t="n">
        <v>45665.40592592592</v>
      </c>
      <c r="F61" s="10" t="n">
        <v>45665.40802083333</v>
      </c>
      <c r="G61" s="3" t="inlineStr">
        <is>
          <t>OBT080125101213-Vienna</t>
        </is>
      </c>
      <c r="H61" s="10" t="n">
        <v>45665.42515046296</v>
      </c>
      <c r="I61" s="10" t="n">
        <v>45665.4574074074</v>
      </c>
      <c r="J61" s="10" t="n">
        <v>45665.45832175926</v>
      </c>
      <c r="K61" s="11">
        <f>IF(AND(ISNUMBER(D61),ISNUMBER(E61)),(E61-D61),"")</f>
        <v/>
      </c>
      <c r="L61" s="11">
        <f>IF(AND(ISNUMBER(F61),ISNUMBER(I61)),(I61-F61),"")</f>
        <v/>
      </c>
    </row>
    <row r="62">
      <c r="A62" s="3" t="inlineStr">
        <is>
          <t>1202003</t>
        </is>
      </c>
      <c r="B62" s="3" t="inlineStr">
        <is>
          <t>12020</t>
        </is>
      </c>
      <c r="C62" s="10" t="n">
        <v>45665.39652777778</v>
      </c>
      <c r="D62" s="10" t="n">
        <v>45665.39856481482</v>
      </c>
      <c r="E62" s="10" t="n">
        <v>45665.40592592592</v>
      </c>
      <c r="F62" s="10" t="n">
        <v>45665.40802083333</v>
      </c>
      <c r="G62" s="3" t="inlineStr">
        <is>
          <t>OBT080125101213-Vienna</t>
        </is>
      </c>
      <c r="H62" s="10" t="n">
        <v>45665.42515046296</v>
      </c>
      <c r="I62" s="10" t="n">
        <v>45665.4574074074</v>
      </c>
      <c r="J62" s="10" t="n">
        <v>45665.45832175926</v>
      </c>
      <c r="K62" s="11">
        <f>IF(AND(ISNUMBER(D62),ISNUMBER(E62)),(E62-D62),"")</f>
        <v/>
      </c>
      <c r="L62" s="11">
        <f>IF(AND(ISNUMBER(F62),ISNUMBER(I62)),(I62-F62),"")</f>
        <v/>
      </c>
    </row>
    <row r="63">
      <c r="A63" s="3" t="inlineStr">
        <is>
          <t>1202004</t>
        </is>
      </c>
      <c r="B63" s="3" t="inlineStr">
        <is>
          <t>12020</t>
        </is>
      </c>
      <c r="C63" s="10" t="n">
        <v>45665.39652777778</v>
      </c>
      <c r="D63" s="10" t="n">
        <v>45665.39856481482</v>
      </c>
      <c r="E63" s="10" t="n">
        <v>45665.40592592592</v>
      </c>
      <c r="F63" s="10" t="n">
        <v>45665.40802083333</v>
      </c>
      <c r="G63" s="3" t="inlineStr">
        <is>
          <t>OBT080125101213-Vienna</t>
        </is>
      </c>
      <c r="H63" s="10" t="n">
        <v>45665.42515046296</v>
      </c>
      <c r="I63" s="10" t="n">
        <v>45665.4574074074</v>
      </c>
      <c r="J63" s="10" t="n">
        <v>45665.45832175926</v>
      </c>
      <c r="K63" s="11">
        <f>IF(AND(ISNUMBER(D63),ISNUMBER(E63)),(E63-D63),"")</f>
        <v/>
      </c>
      <c r="L63" s="11">
        <f>IF(AND(ISNUMBER(F63),ISNUMBER(I63)),(I63-F63),"")</f>
        <v/>
      </c>
    </row>
    <row r="64">
      <c r="A64" s="3" t="inlineStr">
        <is>
          <t>1202101</t>
        </is>
      </c>
      <c r="B64" s="3" t="inlineStr">
        <is>
          <t>12021</t>
        </is>
      </c>
      <c r="C64" s="10" t="n">
        <v>45665.40277777778</v>
      </c>
      <c r="D64" s="10" t="n">
        <v>45665.40430555555</v>
      </c>
      <c r="E64" s="10" t="n">
        <v>45665.41017361111</v>
      </c>
      <c r="F64" s="10" t="n">
        <v>45665.41243055555</v>
      </c>
      <c r="G64" s="3" t="inlineStr">
        <is>
          <t>OBT080125101621-Graz</t>
        </is>
      </c>
      <c r="H64" s="10" t="n">
        <v>45665.42802083334</v>
      </c>
      <c r="I64" s="10" t="n">
        <v>45665.48563657407</v>
      </c>
      <c r="J64" s="10" t="n">
        <v>45665.48655092593</v>
      </c>
      <c r="K64" s="11">
        <f>IF(AND(ISNUMBER(D64),ISNUMBER(E64)),(E64-D64),"")</f>
        <v/>
      </c>
      <c r="L64" s="11">
        <f>IF(AND(ISNUMBER(F64),ISNUMBER(I64)),(I64-F64),"")</f>
        <v/>
      </c>
    </row>
    <row r="65">
      <c r="A65" s="3" t="inlineStr">
        <is>
          <t>1202102</t>
        </is>
      </c>
      <c r="B65" s="3" t="inlineStr">
        <is>
          <t>12021</t>
        </is>
      </c>
      <c r="C65" s="10" t="n">
        <v>45665.40277777778</v>
      </c>
      <c r="D65" s="10" t="n">
        <v>45665.40430555555</v>
      </c>
      <c r="E65" s="10" t="n">
        <v>45665.41017361111</v>
      </c>
      <c r="F65" s="10" t="n">
        <v>45665.41243055555</v>
      </c>
      <c r="G65" s="3" t="inlineStr">
        <is>
          <t>OBT080125101621-Graz</t>
        </is>
      </c>
      <c r="H65" s="10" t="n">
        <v>45665.42802083334</v>
      </c>
      <c r="I65" s="10" t="n">
        <v>45665.48563657407</v>
      </c>
      <c r="J65" s="10" t="n">
        <v>45665.48655092593</v>
      </c>
      <c r="K65" s="11">
        <f>IF(AND(ISNUMBER(D65),ISNUMBER(E65)),(E65-D65),"")</f>
        <v/>
      </c>
      <c r="L65" s="11">
        <f>IF(AND(ISNUMBER(F65),ISNUMBER(I65)),(I65-F65),"")</f>
        <v/>
      </c>
    </row>
    <row r="66">
      <c r="A66" s="3" t="inlineStr">
        <is>
          <t>1202103</t>
        </is>
      </c>
      <c r="B66" s="3" t="inlineStr">
        <is>
          <t>12021</t>
        </is>
      </c>
      <c r="C66" s="10" t="n">
        <v>45665.40277777778</v>
      </c>
      <c r="D66" s="10" t="n">
        <v>45665.40430555555</v>
      </c>
      <c r="E66" s="10" t="n">
        <v>45665.41017361111</v>
      </c>
      <c r="F66" s="10" t="n">
        <v>45665.41243055555</v>
      </c>
      <c r="G66" s="3" t="inlineStr">
        <is>
          <t>OBT080125101621-Graz</t>
        </is>
      </c>
      <c r="H66" s="10" t="n">
        <v>45665.42802083334</v>
      </c>
      <c r="I66" s="10" t="n">
        <v>45665.48563657407</v>
      </c>
      <c r="J66" s="10" t="n">
        <v>45665.48655092593</v>
      </c>
      <c r="K66" s="11">
        <f>IF(AND(ISNUMBER(D66),ISNUMBER(E66)),(E66-D66),"")</f>
        <v/>
      </c>
      <c r="L66" s="11">
        <f>IF(AND(ISNUMBER(F66),ISNUMBER(I66)),(I66-F66),"")</f>
        <v/>
      </c>
    </row>
    <row r="67">
      <c r="A67" s="3" t="inlineStr">
        <is>
          <t>1202201</t>
        </is>
      </c>
      <c r="B67" s="3" t="inlineStr">
        <is>
          <t>12022</t>
        </is>
      </c>
      <c r="C67" s="10" t="n">
        <v>45665.42013888889</v>
      </c>
      <c r="D67" s="10" t="n">
        <v>45665.42232638889</v>
      </c>
      <c r="E67" s="10" t="n">
        <v>45665.42913194445</v>
      </c>
      <c r="F67" s="10" t="n">
        <v>45665.43078703704</v>
      </c>
      <c r="G67" s="3" t="inlineStr">
        <is>
          <t>OBT080125111223-Budapest</t>
        </is>
      </c>
      <c r="H67" s="10" t="n">
        <v>45665.46693287037</v>
      </c>
      <c r="I67" s="10" t="n">
        <v>45665.50387731481</v>
      </c>
      <c r="J67" s="10" t="n">
        <v>45665.50479166667</v>
      </c>
      <c r="K67" s="11">
        <f>IF(AND(ISNUMBER(D67),ISNUMBER(E67)),(E67-D67),"")</f>
        <v/>
      </c>
      <c r="L67" s="11">
        <f>IF(AND(ISNUMBER(F67),ISNUMBER(I67)),(I67-F67),"")</f>
        <v/>
      </c>
    </row>
    <row r="68">
      <c r="A68" s="3" t="inlineStr">
        <is>
          <t>1202202</t>
        </is>
      </c>
      <c r="B68" s="3" t="inlineStr">
        <is>
          <t>12022</t>
        </is>
      </c>
      <c r="C68" s="10" t="n">
        <v>45665.42013888889</v>
      </c>
      <c r="D68" s="10" t="n">
        <v>45665.42232638889</v>
      </c>
      <c r="E68" s="10" t="n">
        <v>45665.42913194445</v>
      </c>
      <c r="F68" s="10" t="n">
        <v>45665.43078703704</v>
      </c>
      <c r="G68" s="3" t="inlineStr">
        <is>
          <t>OBT080125111223-Budapest</t>
        </is>
      </c>
      <c r="H68" s="10" t="n">
        <v>45665.46693287037</v>
      </c>
      <c r="I68" s="10" t="n">
        <v>45665.50387731481</v>
      </c>
      <c r="J68" s="10" t="n">
        <v>45665.50479166667</v>
      </c>
      <c r="K68" s="11">
        <f>IF(AND(ISNUMBER(D68),ISNUMBER(E68)),(E68-D68),"")</f>
        <v/>
      </c>
      <c r="L68" s="11">
        <f>IF(AND(ISNUMBER(F68),ISNUMBER(I68)),(I68-F68),"")</f>
        <v/>
      </c>
    </row>
    <row r="69">
      <c r="A69" s="3" t="inlineStr">
        <is>
          <t>1202203</t>
        </is>
      </c>
      <c r="B69" s="3" t="inlineStr">
        <is>
          <t>12022</t>
        </is>
      </c>
      <c r="C69" s="10" t="n">
        <v>45665.42013888889</v>
      </c>
      <c r="D69" s="10" t="n">
        <v>45665.42232638889</v>
      </c>
      <c r="E69" s="10" t="n">
        <v>45665.42913194445</v>
      </c>
      <c r="F69" s="10" t="n">
        <v>45665.43078703704</v>
      </c>
      <c r="G69" s="3" t="inlineStr">
        <is>
          <t>OBT080125111223-Budapest</t>
        </is>
      </c>
      <c r="H69" s="10" t="n">
        <v>45665.46693287037</v>
      </c>
      <c r="I69" s="10" t="n">
        <v>45665.50387731481</v>
      </c>
      <c r="J69" s="10" t="n">
        <v>45665.50479166667</v>
      </c>
      <c r="K69" s="11">
        <f>IF(AND(ISNUMBER(D69),ISNUMBER(E69)),(E69-D69),"")</f>
        <v/>
      </c>
      <c r="L69" s="11">
        <f>IF(AND(ISNUMBER(F69),ISNUMBER(I69)),(I69-F69),"")</f>
        <v/>
      </c>
    </row>
    <row r="70">
      <c r="A70" s="3" t="inlineStr">
        <is>
          <t>1202204</t>
        </is>
      </c>
      <c r="B70" s="3" t="inlineStr">
        <is>
          <t>12022</t>
        </is>
      </c>
      <c r="C70" s="10" t="n">
        <v>45665.42013888889</v>
      </c>
      <c r="D70" s="10" t="n">
        <v>45665.42232638889</v>
      </c>
      <c r="E70" s="10" t="n">
        <v>45665.43078703704</v>
      </c>
      <c r="F70" s="10" t="n">
        <v>45665.43265046296</v>
      </c>
      <c r="G70" s="3" t="inlineStr">
        <is>
          <t>OBT080125144107-Salzburg</t>
        </is>
      </c>
      <c r="H70" s="10" t="n">
        <v>45665.61188657407</v>
      </c>
      <c r="I70" s="10" t="n">
        <v>45665.6349537037</v>
      </c>
      <c r="J70" s="10" t="n">
        <v>45665.63575231482</v>
      </c>
      <c r="K70" s="11">
        <f>IF(AND(ISNUMBER(D70),ISNUMBER(E70)),(E70-D70),"")</f>
        <v/>
      </c>
      <c r="L70" s="11">
        <f>IF(AND(ISNUMBER(F70),ISNUMBER(I70)),(I70-F70),"")</f>
        <v/>
      </c>
    </row>
    <row r="71">
      <c r="A71" s="3" t="inlineStr">
        <is>
          <t>1202301</t>
        </is>
      </c>
      <c r="B71" s="3" t="inlineStr">
        <is>
          <t>12023</t>
        </is>
      </c>
      <c r="C71" s="10" t="n">
        <v>45665.59375</v>
      </c>
      <c r="D71" s="10" t="n">
        <v>45665.59570601852</v>
      </c>
      <c r="E71" s="10" t="n">
        <v>45665.60188657408</v>
      </c>
      <c r="F71" s="10" t="n">
        <v>45665.60369212963</v>
      </c>
      <c r="G71" s="3" t="inlineStr">
        <is>
          <t>OBT080125144107-Salzburg</t>
        </is>
      </c>
      <c r="H71" s="10" t="n">
        <v>45665.61188657407</v>
      </c>
      <c r="I71" s="10" t="n">
        <v>45665.6349537037</v>
      </c>
      <c r="J71" s="10" t="n">
        <v>45665.63575231482</v>
      </c>
      <c r="K71" s="11">
        <f>IF(AND(ISNUMBER(D71),ISNUMBER(E71)),(E71-D71),"")</f>
        <v/>
      </c>
      <c r="L71" s="11">
        <f>IF(AND(ISNUMBER(F71),ISNUMBER(I71)),(I71-F71),"")</f>
        <v/>
      </c>
    </row>
    <row r="72">
      <c r="A72" s="3" t="inlineStr">
        <is>
          <t>1202302</t>
        </is>
      </c>
      <c r="B72" s="3" t="inlineStr">
        <is>
          <t>12023</t>
        </is>
      </c>
      <c r="C72" s="10" t="n">
        <v>45665.59375</v>
      </c>
      <c r="D72" s="10" t="n">
        <v>45665.59570601852</v>
      </c>
      <c r="E72" s="10" t="n">
        <v>45665.60369212963</v>
      </c>
      <c r="F72" s="10" t="n">
        <v>45665.60506944444</v>
      </c>
      <c r="G72" s="3" t="inlineStr">
        <is>
          <t>OBT080125145710-Innsbruck</t>
        </is>
      </c>
      <c r="H72" s="10" t="n">
        <v>45665.62303240741</v>
      </c>
      <c r="I72" s="10" t="n">
        <v>45665.64890046296</v>
      </c>
      <c r="J72" s="10" t="n">
        <v>45665.64969907407</v>
      </c>
      <c r="K72" s="11">
        <f>IF(AND(ISNUMBER(D72),ISNUMBER(E72)),(E72-D72),"")</f>
        <v/>
      </c>
      <c r="L72" s="11">
        <f>IF(AND(ISNUMBER(F72),ISNUMBER(I72)),(I72-F72),"")</f>
        <v/>
      </c>
    </row>
    <row r="73">
      <c r="A73" s="3" t="inlineStr">
        <is>
          <t>1202303</t>
        </is>
      </c>
      <c r="B73" s="3" t="inlineStr">
        <is>
          <t>12023</t>
        </is>
      </c>
      <c r="C73" s="10" t="n">
        <v>45665.59375</v>
      </c>
      <c r="D73" s="10" t="n">
        <v>45665.59570601852</v>
      </c>
      <c r="E73" s="10" t="n">
        <v>45665.60369212963</v>
      </c>
      <c r="F73" s="10" t="n">
        <v>45665.60506944444</v>
      </c>
      <c r="G73" s="3" t="inlineStr">
        <is>
          <t>OBT080125145710-Innsbruck</t>
        </is>
      </c>
      <c r="H73" s="10" t="n">
        <v>45665.62303240741</v>
      </c>
      <c r="I73" s="10" t="n">
        <v>45665.64890046296</v>
      </c>
      <c r="J73" s="10" t="n">
        <v>45665.64969907407</v>
      </c>
      <c r="K73" s="11">
        <f>IF(AND(ISNUMBER(D73),ISNUMBER(E73)),(E73-D73),"")</f>
        <v/>
      </c>
      <c r="L73" s="11">
        <f>IF(AND(ISNUMBER(F73),ISNUMBER(I73)),(I73-F73),"")</f>
        <v/>
      </c>
    </row>
    <row r="74">
      <c r="A74" s="3" t="inlineStr">
        <is>
          <t>1202401</t>
        </is>
      </c>
      <c r="B74" s="3" t="inlineStr">
        <is>
          <t>12024</t>
        </is>
      </c>
      <c r="C74" s="10" t="n">
        <v>45665.75</v>
      </c>
      <c r="D74" s="10" t="n">
        <v>45665.75185185186</v>
      </c>
      <c r="E74" s="10" t="n">
        <v>45665.75736111111</v>
      </c>
      <c r="F74" s="10" t="n">
        <v>45665.75873842592</v>
      </c>
      <c r="G74" s="3" t="inlineStr">
        <is>
          <t>OBT080125183013-Graz</t>
        </is>
      </c>
      <c r="H74" s="10" t="n">
        <v>45665.7709837963</v>
      </c>
      <c r="I74" s="10" t="n">
        <v>45665.79127314815</v>
      </c>
      <c r="J74" s="10" t="n">
        <v>45665.79200231482</v>
      </c>
      <c r="K74" s="11">
        <f>IF(AND(ISNUMBER(D74),ISNUMBER(E74)),(E74-D74),"")</f>
        <v/>
      </c>
      <c r="L74" s="11">
        <f>IF(AND(ISNUMBER(F74),ISNUMBER(I74)),(I74-F74),"")</f>
        <v/>
      </c>
    </row>
    <row r="75">
      <c r="A75" s="3" t="inlineStr">
        <is>
          <t>1202402</t>
        </is>
      </c>
      <c r="B75" s="3" t="inlineStr">
        <is>
          <t>12024</t>
        </is>
      </c>
      <c r="C75" s="10" t="n">
        <v>45665.75</v>
      </c>
      <c r="D75" s="10" t="n">
        <v>45665.75185185186</v>
      </c>
      <c r="E75" s="10" t="n">
        <v>45665.75736111111</v>
      </c>
      <c r="F75" s="10" t="n">
        <v>45665.75873842592</v>
      </c>
      <c r="G75" s="3" t="inlineStr">
        <is>
          <t>OBT080125183013-Graz</t>
        </is>
      </c>
      <c r="H75" s="10" t="n">
        <v>45665.7709837963</v>
      </c>
      <c r="I75" s="10" t="n">
        <v>45665.79127314815</v>
      </c>
      <c r="J75" s="10" t="n">
        <v>45665.79200231482</v>
      </c>
      <c r="K75" s="11">
        <f>IF(AND(ISNUMBER(D75),ISNUMBER(E75)),(E75-D75),"")</f>
        <v/>
      </c>
      <c r="L75" s="11">
        <f>IF(AND(ISNUMBER(F75),ISNUMBER(I75)),(I75-F75),"")</f>
        <v/>
      </c>
    </row>
    <row r="76">
      <c r="A76" s="3" t="inlineStr">
        <is>
          <t>1202501</t>
        </is>
      </c>
      <c r="B76" s="3" t="inlineStr">
        <is>
          <t>12025</t>
        </is>
      </c>
      <c r="C76" s="10" t="n">
        <v>45665.89583333334</v>
      </c>
      <c r="D76" s="10" t="n">
        <v>45665.89802083333</v>
      </c>
      <c r="E76" s="10" t="n">
        <v>45665.90503472222</v>
      </c>
      <c r="F76" s="10" t="n">
        <v>45665.90674768519</v>
      </c>
      <c r="G76" s="3" t="inlineStr">
        <is>
          <t>OBT080125222429-Budapest</t>
        </is>
      </c>
      <c r="H76" s="10" t="n">
        <v>45665.93366898148</v>
      </c>
      <c r="I76" s="10" t="n">
        <v>45665.97894675926</v>
      </c>
      <c r="J76" s="10" t="n">
        <v>45665.98001157407</v>
      </c>
      <c r="K76" s="11">
        <f>IF(AND(ISNUMBER(D76),ISNUMBER(E76)),(E76-D76),"")</f>
        <v/>
      </c>
      <c r="L76" s="11">
        <f>IF(AND(ISNUMBER(F76),ISNUMBER(I76)),(I76-F76),"")</f>
        <v/>
      </c>
    </row>
    <row r="77">
      <c r="A77" s="3" t="inlineStr">
        <is>
          <t>1202502</t>
        </is>
      </c>
      <c r="B77" s="3" t="inlineStr">
        <is>
          <t>12025</t>
        </is>
      </c>
      <c r="C77" s="10" t="n">
        <v>45665.89583333334</v>
      </c>
      <c r="D77" s="10" t="n">
        <v>45665.89802083333</v>
      </c>
      <c r="E77" s="10" t="n">
        <v>45665.90503472222</v>
      </c>
      <c r="F77" s="10" t="n">
        <v>45665.90674768519</v>
      </c>
      <c r="G77" s="3" t="inlineStr">
        <is>
          <t>OBT080125222429-Budapest</t>
        </is>
      </c>
      <c r="H77" s="10" t="n">
        <v>45665.93366898148</v>
      </c>
      <c r="I77" s="10" t="n">
        <v>45665.97894675926</v>
      </c>
      <c r="J77" s="10" t="n">
        <v>45665.98001157407</v>
      </c>
      <c r="K77" s="11">
        <f>IF(AND(ISNUMBER(D77),ISNUMBER(E77)),(E77-D77),"")</f>
        <v/>
      </c>
      <c r="L77" s="11">
        <f>IF(AND(ISNUMBER(F77),ISNUMBER(I77)),(I77-F77),"")</f>
        <v/>
      </c>
    </row>
    <row r="78">
      <c r="A78" s="3" t="inlineStr">
        <is>
          <t>1202503</t>
        </is>
      </c>
      <c r="B78" s="3" t="inlineStr">
        <is>
          <t>12025</t>
        </is>
      </c>
      <c r="C78" s="10" t="n">
        <v>45665.89583333334</v>
      </c>
      <c r="D78" s="10" t="n">
        <v>45665.89802083333</v>
      </c>
      <c r="E78" s="10" t="n">
        <v>45665.90503472222</v>
      </c>
      <c r="F78" s="10" t="n">
        <v>45665.90674768519</v>
      </c>
      <c r="G78" s="3" t="inlineStr">
        <is>
          <t>OBT080125222429-Budapest</t>
        </is>
      </c>
      <c r="H78" s="10" t="n">
        <v>45665.93366898148</v>
      </c>
      <c r="I78" s="10" t="n">
        <v>45665.97894675926</v>
      </c>
      <c r="J78" s="10" t="n">
        <v>45665.98001157407</v>
      </c>
      <c r="K78" s="11">
        <f>IF(AND(ISNUMBER(D78),ISNUMBER(E78)),(E78-D78),"")</f>
        <v/>
      </c>
      <c r="L78" s="11">
        <f>IF(AND(ISNUMBER(F78),ISNUMBER(I78)),(I78-F78),"")</f>
        <v/>
      </c>
    </row>
    <row r="79">
      <c r="A79" s="3" t="inlineStr">
        <is>
          <t>1202504</t>
        </is>
      </c>
      <c r="B79" s="3" t="inlineStr">
        <is>
          <t>12025</t>
        </is>
      </c>
      <c r="C79" s="10" t="n">
        <v>45665.89583333334</v>
      </c>
      <c r="D79" s="10" t="n">
        <v>45665.89802083333</v>
      </c>
      <c r="E79" s="10" t="n">
        <v>45665.90503472222</v>
      </c>
      <c r="F79" s="10" t="n">
        <v>45665.90674768519</v>
      </c>
      <c r="G79" s="3" t="inlineStr">
        <is>
          <t>OBT080125222429-Budapest</t>
        </is>
      </c>
      <c r="H79" s="10" t="n">
        <v>45665.93366898148</v>
      </c>
      <c r="I79" s="10" t="n">
        <v>45665.97894675926</v>
      </c>
      <c r="J79" s="10" t="n">
        <v>45665.98001157407</v>
      </c>
      <c r="K79" s="11">
        <f>IF(AND(ISNUMBER(D79),ISNUMBER(E79)),(E79-D79),"")</f>
        <v/>
      </c>
      <c r="L79" s="11">
        <f>IF(AND(ISNUMBER(F79),ISNUMBER(I79)),(I79-F79),"")</f>
        <v/>
      </c>
    </row>
    <row r="80">
      <c r="A80" s="3" t="inlineStr">
        <is>
          <t>1202505</t>
        </is>
      </c>
      <c r="B80" s="3" t="inlineStr">
        <is>
          <t>12025</t>
        </is>
      </c>
      <c r="C80" s="10" t="n">
        <v>45665.89583333334</v>
      </c>
      <c r="D80" s="10" t="n">
        <v>45665.89802083333</v>
      </c>
      <c r="E80" s="10" t="n">
        <v>45665.90503472222</v>
      </c>
      <c r="F80" s="10" t="n">
        <v>45665.90674768519</v>
      </c>
      <c r="G80" s="3" t="inlineStr">
        <is>
          <t>OBT080125222429-Budapest</t>
        </is>
      </c>
      <c r="H80" s="10" t="n">
        <v>45665.93366898148</v>
      </c>
      <c r="I80" s="10" t="n">
        <v>45665.97894675926</v>
      </c>
      <c r="J80" s="10" t="n">
        <v>45665.98001157407</v>
      </c>
      <c r="K80" s="11">
        <f>IF(AND(ISNUMBER(D80),ISNUMBER(E80)),(E80-D80),"")</f>
        <v/>
      </c>
      <c r="L80" s="11">
        <f>IF(AND(ISNUMBER(F80),ISNUMBER(I80)),(I80-F80),"")</f>
        <v/>
      </c>
    </row>
    <row r="81">
      <c r="A81" s="3" t="inlineStr">
        <is>
          <t>1202601</t>
        </is>
      </c>
      <c r="B81" s="3" t="inlineStr">
        <is>
          <t>12026</t>
        </is>
      </c>
      <c r="C81" s="10" t="n">
        <v>45666.20833333334</v>
      </c>
      <c r="D81" s="10" t="n">
        <v>45666.21021990741</v>
      </c>
      <c r="E81" s="10" t="n">
        <v>45666.2158449074</v>
      </c>
      <c r="F81" s="10" t="n">
        <v>45666.21719907408</v>
      </c>
      <c r="G81" s="3" t="inlineStr">
        <is>
          <t>OBT090125054651-Salzburg</t>
        </is>
      </c>
      <c r="H81" s="10" t="n">
        <v>45666.24086805555</v>
      </c>
      <c r="I81" s="10" t="n">
        <v>45666.26756944445</v>
      </c>
      <c r="J81" s="10" t="n">
        <v>45666.26836805556</v>
      </c>
      <c r="K81" s="11">
        <f>IF(AND(ISNUMBER(D81),ISNUMBER(E81)),(E81-D81),"")</f>
        <v/>
      </c>
      <c r="L81" s="11">
        <f>IF(AND(ISNUMBER(F81),ISNUMBER(I81)),(I81-F81),"")</f>
        <v/>
      </c>
    </row>
    <row r="82">
      <c r="A82" s="3" t="inlineStr">
        <is>
          <t>1202602</t>
        </is>
      </c>
      <c r="B82" s="3" t="inlineStr">
        <is>
          <t>12026</t>
        </is>
      </c>
      <c r="C82" s="10" t="n">
        <v>45666.20833333334</v>
      </c>
      <c r="D82" s="10" t="n">
        <v>45666.21021990741</v>
      </c>
      <c r="E82" s="10" t="n">
        <v>45666.2158449074</v>
      </c>
      <c r="F82" s="10" t="n">
        <v>45666.21719907408</v>
      </c>
      <c r="G82" s="3" t="inlineStr">
        <is>
          <t>OBT090125054651-Salzburg</t>
        </is>
      </c>
      <c r="H82" s="10" t="n">
        <v>45666.24086805555</v>
      </c>
      <c r="I82" s="10" t="n">
        <v>45666.26756944445</v>
      </c>
      <c r="J82" s="10" t="n">
        <v>45666.26836805556</v>
      </c>
      <c r="K82" s="11">
        <f>IF(AND(ISNUMBER(D82),ISNUMBER(E82)),(E82-D82),"")</f>
        <v/>
      </c>
      <c r="L82" s="11">
        <f>IF(AND(ISNUMBER(F82),ISNUMBER(I82)),(I82-F82),"")</f>
        <v/>
      </c>
    </row>
    <row r="83">
      <c r="A83" s="3" t="inlineStr">
        <is>
          <t>1202603</t>
        </is>
      </c>
      <c r="B83" s="3" t="inlineStr">
        <is>
          <t>12026</t>
        </is>
      </c>
      <c r="C83" s="10" t="n">
        <v>45666.20833333334</v>
      </c>
      <c r="D83" s="10" t="n">
        <v>45666.21021990741</v>
      </c>
      <c r="E83" s="10" t="n">
        <v>45666.21719907408</v>
      </c>
      <c r="F83" s="10" t="n">
        <v>45666.21850694445</v>
      </c>
      <c r="G83" s="3" t="inlineStr">
        <is>
          <t>OBT090125062930-Linz</t>
        </is>
      </c>
      <c r="H83" s="10" t="n">
        <v>45666.27048611111</v>
      </c>
      <c r="I83" s="10" t="n">
        <v>45666.3218287037</v>
      </c>
      <c r="J83" s="10" t="n">
        <v>45666.3228125</v>
      </c>
      <c r="K83" s="11">
        <f>IF(AND(ISNUMBER(D83),ISNUMBER(E83)),(E83-D83),"")</f>
        <v/>
      </c>
      <c r="L83" s="11">
        <f>IF(AND(ISNUMBER(F83),ISNUMBER(I83)),(I83-F83),"")</f>
        <v/>
      </c>
    </row>
    <row r="84">
      <c r="A84" s="3" t="inlineStr">
        <is>
          <t>1202701</t>
        </is>
      </c>
      <c r="B84" s="3" t="inlineStr">
        <is>
          <t>12027</t>
        </is>
      </c>
      <c r="C84" s="10" t="n">
        <v>45666.21458333333</v>
      </c>
      <c r="D84" s="10" t="n">
        <v>45666.21614583334</v>
      </c>
      <c r="E84" s="10" t="n">
        <v>45666.2221412037</v>
      </c>
      <c r="F84" s="10" t="n">
        <v>45666.22451388889</v>
      </c>
      <c r="G84" s="3" t="inlineStr">
        <is>
          <t>OBT090125055020-Vienna</t>
        </is>
      </c>
      <c r="H84" s="10" t="n">
        <v>45666.24328703704</v>
      </c>
      <c r="I84" s="10" t="n">
        <v>45666.2762962963</v>
      </c>
      <c r="J84" s="10" t="n">
        <v>45666.27719907407</v>
      </c>
      <c r="K84" s="11">
        <f>IF(AND(ISNUMBER(D84),ISNUMBER(E84)),(E84-D84),"")</f>
        <v/>
      </c>
      <c r="L84" s="11">
        <f>IF(AND(ISNUMBER(F84),ISNUMBER(I84)),(I84-F84),"")</f>
        <v/>
      </c>
    </row>
    <row r="85">
      <c r="A85" s="3" t="inlineStr">
        <is>
          <t>1202702</t>
        </is>
      </c>
      <c r="B85" s="3" t="inlineStr">
        <is>
          <t>12027</t>
        </is>
      </c>
      <c r="C85" s="10" t="n">
        <v>45666.21458333333</v>
      </c>
      <c r="D85" s="10" t="n">
        <v>45666.21614583334</v>
      </c>
      <c r="E85" s="10" t="n">
        <v>45666.2221412037</v>
      </c>
      <c r="F85" s="10" t="n">
        <v>45666.22451388889</v>
      </c>
      <c r="G85" s="3" t="inlineStr">
        <is>
          <t>OBT090125055020-Vienna</t>
        </is>
      </c>
      <c r="H85" s="10" t="n">
        <v>45666.24328703704</v>
      </c>
      <c r="I85" s="10" t="n">
        <v>45666.2762962963</v>
      </c>
      <c r="J85" s="10" t="n">
        <v>45666.27719907407</v>
      </c>
      <c r="K85" s="11">
        <f>IF(AND(ISNUMBER(D85),ISNUMBER(E85)),(E85-D85),"")</f>
        <v/>
      </c>
      <c r="L85" s="11">
        <f>IF(AND(ISNUMBER(F85),ISNUMBER(I85)),(I85-F85),"")</f>
        <v/>
      </c>
    </row>
    <row r="86">
      <c r="A86" s="3" t="inlineStr">
        <is>
          <t>1202703</t>
        </is>
      </c>
      <c r="B86" s="3" t="inlineStr">
        <is>
          <t>12027</t>
        </is>
      </c>
      <c r="C86" s="10" t="n">
        <v>45666.21458333333</v>
      </c>
      <c r="D86" s="10" t="n">
        <v>45666.21614583334</v>
      </c>
      <c r="E86" s="10" t="n">
        <v>45666.2221412037</v>
      </c>
      <c r="F86" s="10" t="n">
        <v>45666.22451388889</v>
      </c>
      <c r="G86" s="3" t="inlineStr">
        <is>
          <t>OBT090125055020-Vienna</t>
        </is>
      </c>
      <c r="H86" s="10" t="n">
        <v>45666.24328703704</v>
      </c>
      <c r="I86" s="10" t="n">
        <v>45666.2762962963</v>
      </c>
      <c r="J86" s="10" t="n">
        <v>45666.27719907407</v>
      </c>
      <c r="K86" s="11">
        <f>IF(AND(ISNUMBER(D86),ISNUMBER(E86)),(E86-D86),"")</f>
        <v/>
      </c>
      <c r="L86" s="11">
        <f>IF(AND(ISNUMBER(F86),ISNUMBER(I86)),(I86-F86),"")</f>
        <v/>
      </c>
    </row>
    <row r="87">
      <c r="A87" s="3" t="inlineStr">
        <is>
          <t>1202801</t>
        </is>
      </c>
      <c r="B87" s="3" t="inlineStr">
        <is>
          <t>12028</t>
        </is>
      </c>
      <c r="C87" s="10" t="n">
        <v>45666.22152777778</v>
      </c>
      <c r="D87" s="10" t="n">
        <v>45666.22353009259</v>
      </c>
      <c r="E87" s="10" t="n">
        <v>45666.23145833334</v>
      </c>
      <c r="F87" s="10" t="n">
        <v>45666.23269675926</v>
      </c>
      <c r="G87" s="3" t="inlineStr">
        <is>
          <t>OBT090125054651-Salzburg</t>
        </is>
      </c>
      <c r="H87" s="10" t="n">
        <v>45666.24086805555</v>
      </c>
      <c r="I87" s="10" t="n">
        <v>45666.26756944445</v>
      </c>
      <c r="J87" s="10" t="n">
        <v>45666.26836805556</v>
      </c>
      <c r="K87" s="11">
        <f>IF(AND(ISNUMBER(D87),ISNUMBER(E87)),(E87-D87),"")</f>
        <v/>
      </c>
      <c r="L87" s="11">
        <f>IF(AND(ISNUMBER(F87),ISNUMBER(I87)),(I87-F87),"")</f>
        <v/>
      </c>
    </row>
    <row r="88">
      <c r="A88" s="3" t="inlineStr">
        <is>
          <t>1202802</t>
        </is>
      </c>
      <c r="B88" s="3" t="inlineStr">
        <is>
          <t>12028</t>
        </is>
      </c>
      <c r="C88" s="10" t="n">
        <v>45666.22152777778</v>
      </c>
      <c r="D88" s="10" t="n">
        <v>45666.22353009259</v>
      </c>
      <c r="E88" s="10" t="n">
        <v>45666.23269675926</v>
      </c>
      <c r="F88" s="10" t="n">
        <v>45666.23449074074</v>
      </c>
      <c r="G88" s="3" t="inlineStr">
        <is>
          <t>OBT090125062427-Graz</t>
        </is>
      </c>
      <c r="H88" s="10" t="n">
        <v>45666.26697916666</v>
      </c>
      <c r="I88" s="10" t="n">
        <v>45666.31704861111</v>
      </c>
      <c r="J88" s="10" t="n">
        <v>45666.3181712963</v>
      </c>
      <c r="K88" s="11">
        <f>IF(AND(ISNUMBER(D88),ISNUMBER(E88)),(E88-D88),"")</f>
        <v/>
      </c>
      <c r="L88" s="11">
        <f>IF(AND(ISNUMBER(F88),ISNUMBER(I88)),(I88-F88),"")</f>
        <v/>
      </c>
    </row>
    <row r="89">
      <c r="A89" s="3" t="inlineStr">
        <is>
          <t>1202803</t>
        </is>
      </c>
      <c r="B89" s="3" t="inlineStr">
        <is>
          <t>12028</t>
        </is>
      </c>
      <c r="C89" s="10" t="n">
        <v>45666.22152777778</v>
      </c>
      <c r="D89" s="10" t="n">
        <v>45666.22353009259</v>
      </c>
      <c r="E89" s="10" t="n">
        <v>45666.23449074074</v>
      </c>
      <c r="F89" s="10" t="n">
        <v>45666.23648148148</v>
      </c>
      <c r="G89" s="3" t="inlineStr">
        <is>
          <t>OBT100125080623-Klagenfurt</t>
        </is>
      </c>
      <c r="H89" s="10" t="n">
        <v>45667.3377662037</v>
      </c>
      <c r="I89" s="10" t="n">
        <v>45667.36085648148</v>
      </c>
      <c r="J89" s="10" t="n">
        <v>45667.36155092593</v>
      </c>
      <c r="K89" s="11">
        <f>IF(AND(ISNUMBER(D89),ISNUMBER(E89)),(E89-D89),"")</f>
        <v/>
      </c>
      <c r="L89" s="11">
        <f>IF(AND(ISNUMBER(F89),ISNUMBER(I89)),(I89-F89),"")</f>
        <v/>
      </c>
    </row>
    <row r="90">
      <c r="A90" s="3" t="inlineStr">
        <is>
          <t>1202804</t>
        </is>
      </c>
      <c r="B90" s="3" t="inlineStr">
        <is>
          <t>12028</t>
        </is>
      </c>
      <c r="C90" s="10" t="n">
        <v>45666.22152777778</v>
      </c>
      <c r="D90" s="10" t="n">
        <v>45666.22353009259</v>
      </c>
      <c r="E90" s="10" t="n">
        <v>45666.23648148148</v>
      </c>
      <c r="F90" s="10" t="n">
        <v>45666.23824074074</v>
      </c>
      <c r="G90" s="3" t="inlineStr">
        <is>
          <t>OBT090125062427-Graz</t>
        </is>
      </c>
      <c r="H90" s="10" t="n">
        <v>45666.26697916666</v>
      </c>
      <c r="I90" s="10" t="n">
        <v>45666.31704861111</v>
      </c>
      <c r="J90" s="10" t="n">
        <v>45666.3181712963</v>
      </c>
      <c r="K90" s="11">
        <f>IF(AND(ISNUMBER(D90),ISNUMBER(E90)),(E90-D90),"")</f>
        <v/>
      </c>
      <c r="L90" s="11">
        <f>IF(AND(ISNUMBER(F90),ISNUMBER(I90)),(I90-F90),"")</f>
        <v/>
      </c>
    </row>
    <row r="91">
      <c r="A91" s="3" t="inlineStr">
        <is>
          <t>1202901</t>
        </is>
      </c>
      <c r="B91" s="3" t="inlineStr">
        <is>
          <t>12029</t>
        </is>
      </c>
      <c r="C91" s="10" t="n">
        <v>45666.22777777778</v>
      </c>
      <c r="D91" s="10" t="n">
        <v>45666.22940972223</v>
      </c>
      <c r="E91" s="10" t="n">
        <v>45666.2391087963</v>
      </c>
      <c r="F91" s="10" t="n">
        <v>45666.24079861111</v>
      </c>
      <c r="G91" s="3" t="inlineStr">
        <is>
          <t>OBT090125062930-Linz</t>
        </is>
      </c>
      <c r="H91" s="10" t="n">
        <v>45666.27048611111</v>
      </c>
      <c r="I91" s="10" t="n">
        <v>45666.3218287037</v>
      </c>
      <c r="J91" s="10" t="n">
        <v>45666.3228125</v>
      </c>
      <c r="K91" s="11">
        <f>IF(AND(ISNUMBER(D91),ISNUMBER(E91)),(E91-D91),"")</f>
        <v/>
      </c>
      <c r="L91" s="11">
        <f>IF(AND(ISNUMBER(F91),ISNUMBER(I91)),(I91-F91),"")</f>
        <v/>
      </c>
    </row>
    <row r="92">
      <c r="A92" s="3" t="inlineStr">
        <is>
          <t>1202902</t>
        </is>
      </c>
      <c r="B92" s="3" t="inlineStr">
        <is>
          <t>12029</t>
        </is>
      </c>
      <c r="C92" s="10" t="n">
        <v>45666.22777777778</v>
      </c>
      <c r="D92" s="10" t="n">
        <v>45666.22940972223</v>
      </c>
      <c r="E92" s="10" t="n">
        <v>45666.2391087963</v>
      </c>
      <c r="F92" s="10" t="n">
        <v>45666.24079861111</v>
      </c>
      <c r="G92" s="3" t="inlineStr">
        <is>
          <t>OBT090125062930-Linz</t>
        </is>
      </c>
      <c r="H92" s="10" t="n">
        <v>45666.27048611111</v>
      </c>
      <c r="I92" s="10" t="n">
        <v>45666.3218287037</v>
      </c>
      <c r="J92" s="10" t="n">
        <v>45666.3228125</v>
      </c>
      <c r="K92" s="11">
        <f>IF(AND(ISNUMBER(D92),ISNUMBER(E92)),(E92-D92),"")</f>
        <v/>
      </c>
      <c r="L92" s="11">
        <f>IF(AND(ISNUMBER(F92),ISNUMBER(I92)),(I92-F92),"")</f>
        <v/>
      </c>
    </row>
    <row r="93">
      <c r="A93" s="3" t="inlineStr">
        <is>
          <t>1202903</t>
        </is>
      </c>
      <c r="B93" s="3" t="inlineStr">
        <is>
          <t>12029</t>
        </is>
      </c>
      <c r="C93" s="10" t="n">
        <v>45666.22777777778</v>
      </c>
      <c r="D93" s="10" t="n">
        <v>45666.22940972223</v>
      </c>
      <c r="E93" s="10" t="n">
        <v>45666.2391087963</v>
      </c>
      <c r="F93" s="10" t="n">
        <v>45666.24079861111</v>
      </c>
      <c r="G93" s="3" t="inlineStr">
        <is>
          <t>OBT090125062930-Linz</t>
        </is>
      </c>
      <c r="H93" s="10" t="n">
        <v>45666.27048611111</v>
      </c>
      <c r="I93" s="10" t="n">
        <v>45666.3218287037</v>
      </c>
      <c r="J93" s="10" t="n">
        <v>45666.3228125</v>
      </c>
      <c r="K93" s="11">
        <f>IF(AND(ISNUMBER(D93),ISNUMBER(E93)),(E93-D93),"")</f>
        <v/>
      </c>
      <c r="L93" s="11">
        <f>IF(AND(ISNUMBER(F93),ISNUMBER(I93)),(I93-F93),"")</f>
        <v/>
      </c>
    </row>
    <row r="94">
      <c r="A94" s="3" t="inlineStr">
        <is>
          <t>1202904</t>
        </is>
      </c>
      <c r="B94" s="3" t="inlineStr">
        <is>
          <t>12029</t>
        </is>
      </c>
      <c r="C94" s="10" t="n">
        <v>45666.22777777778</v>
      </c>
      <c r="D94" s="10" t="n">
        <v>45666.22940972223</v>
      </c>
      <c r="E94" s="10" t="n">
        <v>45666.2391087963</v>
      </c>
      <c r="F94" s="10" t="n">
        <v>45666.24079861111</v>
      </c>
      <c r="G94" s="3" t="inlineStr">
        <is>
          <t>OBT090125062930-Linz</t>
        </is>
      </c>
      <c r="H94" s="10" t="n">
        <v>45666.27048611111</v>
      </c>
      <c r="I94" s="10" t="n">
        <v>45666.3218287037</v>
      </c>
      <c r="J94" s="10" t="n">
        <v>45666.3228125</v>
      </c>
      <c r="K94" s="11">
        <f>IF(AND(ISNUMBER(D94),ISNUMBER(E94)),(E94-D94),"")</f>
        <v/>
      </c>
      <c r="L94" s="11">
        <f>IF(AND(ISNUMBER(F94),ISNUMBER(I94)),(I94-F94),"")</f>
        <v/>
      </c>
    </row>
    <row r="95">
      <c r="A95" s="3" t="inlineStr">
        <is>
          <t>1203001</t>
        </is>
      </c>
      <c r="B95" s="3" t="inlineStr">
        <is>
          <t>12030</t>
        </is>
      </c>
      <c r="C95" s="10" t="n">
        <v>45666.23125</v>
      </c>
      <c r="D95" s="10" t="n">
        <v>45666.23256944444</v>
      </c>
      <c r="E95" s="10" t="n">
        <v>45666.24159722222</v>
      </c>
      <c r="F95" s="10" t="n">
        <v>45666.24347222222</v>
      </c>
      <c r="G95" s="3" t="inlineStr">
        <is>
          <t>OBT090125062427-Graz</t>
        </is>
      </c>
      <c r="H95" s="10" t="n">
        <v>45666.26697916666</v>
      </c>
      <c r="I95" s="10" t="n">
        <v>45666.31704861111</v>
      </c>
      <c r="J95" s="10" t="n">
        <v>45666.3181712963</v>
      </c>
      <c r="K95" s="11">
        <f>IF(AND(ISNUMBER(D95),ISNUMBER(E95)),(E95-D95),"")</f>
        <v/>
      </c>
      <c r="L95" s="11">
        <f>IF(AND(ISNUMBER(F95),ISNUMBER(I95)),(I95-F95),"")</f>
        <v/>
      </c>
    </row>
    <row r="96">
      <c r="A96" s="3" t="inlineStr">
        <is>
          <t>1203002</t>
        </is>
      </c>
      <c r="B96" s="3" t="inlineStr">
        <is>
          <t>12030</t>
        </is>
      </c>
      <c r="C96" s="10" t="n">
        <v>45666.23125</v>
      </c>
      <c r="D96" s="10" t="n">
        <v>45666.23256944444</v>
      </c>
      <c r="E96" s="10" t="n">
        <v>45666.24159722222</v>
      </c>
      <c r="F96" s="10" t="n">
        <v>45666.24347222222</v>
      </c>
      <c r="G96" s="3" t="inlineStr">
        <is>
          <t>OBT090125062427-Graz</t>
        </is>
      </c>
      <c r="H96" s="10" t="n">
        <v>45666.26697916666</v>
      </c>
      <c r="I96" s="10" t="n">
        <v>45666.31704861111</v>
      </c>
      <c r="J96" s="10" t="n">
        <v>45666.3181712963</v>
      </c>
      <c r="K96" s="11">
        <f>IF(AND(ISNUMBER(D96),ISNUMBER(E96)),(E96-D96),"")</f>
        <v/>
      </c>
      <c r="L96" s="11">
        <f>IF(AND(ISNUMBER(F96),ISNUMBER(I96)),(I96-F96),"")</f>
        <v/>
      </c>
    </row>
    <row r="97">
      <c r="A97" s="3" t="inlineStr">
        <is>
          <t>1203003</t>
        </is>
      </c>
      <c r="B97" s="3" t="inlineStr">
        <is>
          <t>12030</t>
        </is>
      </c>
      <c r="C97" s="10" t="n">
        <v>45666.23125</v>
      </c>
      <c r="D97" s="10" t="n">
        <v>45666.23256944444</v>
      </c>
      <c r="E97" s="10" t="n">
        <v>45666.24159722222</v>
      </c>
      <c r="F97" s="10" t="n">
        <v>45666.24347222222</v>
      </c>
      <c r="G97" s="3" t="inlineStr">
        <is>
          <t>OBT090125062427-Graz</t>
        </is>
      </c>
      <c r="H97" s="10" t="n">
        <v>45666.26697916666</v>
      </c>
      <c r="I97" s="10" t="n">
        <v>45666.31704861111</v>
      </c>
      <c r="J97" s="10" t="n">
        <v>45666.3181712963</v>
      </c>
      <c r="K97" s="11">
        <f>IF(AND(ISNUMBER(D97),ISNUMBER(E97)),(E97-D97),"")</f>
        <v/>
      </c>
      <c r="L97" s="11">
        <f>IF(AND(ISNUMBER(F97),ISNUMBER(I97)),(I97-F97),"")</f>
        <v/>
      </c>
    </row>
    <row r="98">
      <c r="A98" s="3" t="inlineStr">
        <is>
          <t>1203101</t>
        </is>
      </c>
      <c r="B98" s="3" t="inlineStr">
        <is>
          <t>12031</t>
        </is>
      </c>
      <c r="C98" s="10" t="n">
        <v>45666.23472222222</v>
      </c>
      <c r="D98" s="10" t="n">
        <v>45666.23584490741</v>
      </c>
      <c r="E98" s="10" t="n">
        <v>45666.24435185185</v>
      </c>
      <c r="F98" s="10" t="n">
        <v>45666.24623842593</v>
      </c>
      <c r="G98" s="3" t="inlineStr">
        <is>
          <t>OBT090125133851-Graz</t>
        </is>
      </c>
      <c r="H98" s="10" t="n">
        <v>45666.56864583334</v>
      </c>
      <c r="I98" s="10" t="n">
        <v>45666.59449074074</v>
      </c>
      <c r="J98" s="10" t="n">
        <v>45666.59537037037</v>
      </c>
      <c r="K98" s="11">
        <f>IF(AND(ISNUMBER(D98),ISNUMBER(E98)),(E98-D98),"")</f>
        <v/>
      </c>
      <c r="L98" s="11">
        <f>IF(AND(ISNUMBER(F98),ISNUMBER(I98)),(I98-F98),"")</f>
        <v/>
      </c>
    </row>
    <row r="99">
      <c r="A99" s="3" t="inlineStr">
        <is>
          <t>1203102</t>
        </is>
      </c>
      <c r="B99" s="3" t="inlineStr">
        <is>
          <t>12031</t>
        </is>
      </c>
      <c r="C99" s="10" t="n">
        <v>45666.23472222222</v>
      </c>
      <c r="D99" s="10" t="n">
        <v>45666.23584490741</v>
      </c>
      <c r="E99" s="10" t="n">
        <v>45666.24435185185</v>
      </c>
      <c r="F99" s="10" t="n">
        <v>45666.24623842593</v>
      </c>
      <c r="G99" s="3" t="inlineStr">
        <is>
          <t>OBT090125133851-Graz</t>
        </is>
      </c>
      <c r="H99" s="10" t="n">
        <v>45666.56864583334</v>
      </c>
      <c r="I99" s="10" t="n">
        <v>45666.59449074074</v>
      </c>
      <c r="J99" s="10" t="n">
        <v>45666.59537037037</v>
      </c>
      <c r="K99" s="11">
        <f>IF(AND(ISNUMBER(D99),ISNUMBER(E99)),(E99-D99),"")</f>
        <v/>
      </c>
      <c r="L99" s="11">
        <f>IF(AND(ISNUMBER(F99),ISNUMBER(I99)),(I99-F99),"")</f>
        <v/>
      </c>
    </row>
    <row r="100">
      <c r="A100" s="3" t="inlineStr">
        <is>
          <t>1203103</t>
        </is>
      </c>
      <c r="B100" s="3" t="inlineStr">
        <is>
          <t>12031</t>
        </is>
      </c>
      <c r="C100" s="10" t="n">
        <v>45666.23472222222</v>
      </c>
      <c r="D100" s="10" t="n">
        <v>45666.23584490741</v>
      </c>
      <c r="E100" s="10" t="n">
        <v>45666.24435185185</v>
      </c>
      <c r="F100" s="10" t="n">
        <v>45666.24623842593</v>
      </c>
      <c r="G100" s="3" t="inlineStr">
        <is>
          <t>OBT090125133851-Graz</t>
        </is>
      </c>
      <c r="H100" s="10" t="n">
        <v>45666.56864583334</v>
      </c>
      <c r="I100" s="10" t="n">
        <v>45666.59449074074</v>
      </c>
      <c r="J100" s="10" t="n">
        <v>45666.59537037037</v>
      </c>
      <c r="K100" s="11">
        <f>IF(AND(ISNUMBER(D100),ISNUMBER(E100)),(E100-D100),"")</f>
        <v/>
      </c>
      <c r="L100" s="11">
        <f>IF(AND(ISNUMBER(F100),ISNUMBER(I100)),(I100-F100),"")</f>
        <v/>
      </c>
    </row>
    <row r="101">
      <c r="A101" s="3" t="inlineStr">
        <is>
          <t>1203201</t>
        </is>
      </c>
      <c r="B101" s="3" t="inlineStr">
        <is>
          <t>12032</t>
        </is>
      </c>
      <c r="C101" s="10" t="n">
        <v>45666.23958333334</v>
      </c>
      <c r="D101" s="10" t="n">
        <v>45666.24153935185</v>
      </c>
      <c r="E101" s="10" t="n">
        <v>45666.24797453704</v>
      </c>
      <c r="F101" s="10" t="n">
        <v>45666.25005787037</v>
      </c>
      <c r="G101" s="3" t="inlineStr">
        <is>
          <t>OBT090125065110-Vienna</t>
        </is>
      </c>
      <c r="H101" s="10" t="n">
        <v>45666.2855324074</v>
      </c>
      <c r="I101" s="10" t="n">
        <v>45666.33888888889</v>
      </c>
      <c r="J101" s="10" t="n">
        <v>45666.33979166667</v>
      </c>
      <c r="K101" s="11">
        <f>IF(AND(ISNUMBER(D101),ISNUMBER(E101)),(E101-D101),"")</f>
        <v/>
      </c>
      <c r="L101" s="11">
        <f>IF(AND(ISNUMBER(F101),ISNUMBER(I101)),(I101-F101),"")</f>
        <v/>
      </c>
    </row>
    <row r="102">
      <c r="A102" s="3" t="inlineStr">
        <is>
          <t>1203202</t>
        </is>
      </c>
      <c r="B102" s="3" t="inlineStr">
        <is>
          <t>12032</t>
        </is>
      </c>
      <c r="C102" s="10" t="n">
        <v>45666.23958333334</v>
      </c>
      <c r="D102" s="10" t="n">
        <v>45666.24153935185</v>
      </c>
      <c r="E102" s="10" t="n">
        <v>45666.24797453704</v>
      </c>
      <c r="F102" s="10" t="n">
        <v>45666.25005787037</v>
      </c>
      <c r="G102" s="3" t="inlineStr">
        <is>
          <t>OBT090125065110-Vienna</t>
        </is>
      </c>
      <c r="H102" s="10" t="n">
        <v>45666.2855324074</v>
      </c>
      <c r="I102" s="10" t="n">
        <v>45666.33888888889</v>
      </c>
      <c r="J102" s="10" t="n">
        <v>45666.33979166667</v>
      </c>
      <c r="K102" s="11">
        <f>IF(AND(ISNUMBER(D102),ISNUMBER(E102)),(E102-D102),"")</f>
        <v/>
      </c>
      <c r="L102" s="11">
        <f>IF(AND(ISNUMBER(F102),ISNUMBER(I102)),(I102-F102),"")</f>
        <v/>
      </c>
    </row>
    <row r="103">
      <c r="A103" s="3" t="inlineStr">
        <is>
          <t>1203203</t>
        </is>
      </c>
      <c r="B103" s="3" t="inlineStr">
        <is>
          <t>12032</t>
        </is>
      </c>
      <c r="C103" s="10" t="n">
        <v>45666.23958333334</v>
      </c>
      <c r="D103" s="10" t="n">
        <v>45666.24153935185</v>
      </c>
      <c r="E103" s="10" t="n">
        <v>45666.24797453704</v>
      </c>
      <c r="F103" s="10" t="n">
        <v>45666.25005787037</v>
      </c>
      <c r="G103" s="3" t="inlineStr">
        <is>
          <t>OBT090125065110-Vienna</t>
        </is>
      </c>
      <c r="H103" s="10" t="n">
        <v>45666.2855324074</v>
      </c>
      <c r="I103" s="10" t="n">
        <v>45666.33888888889</v>
      </c>
      <c r="J103" s="10" t="n">
        <v>45666.33979166667</v>
      </c>
      <c r="K103" s="11">
        <f>IF(AND(ISNUMBER(D103),ISNUMBER(E103)),(E103-D103),"")</f>
        <v/>
      </c>
      <c r="L103" s="11">
        <f>IF(AND(ISNUMBER(F103),ISNUMBER(I103)),(I103-F103),"")</f>
        <v/>
      </c>
    </row>
    <row r="104">
      <c r="A104" s="3" t="inlineStr">
        <is>
          <t>1203301</t>
        </is>
      </c>
      <c r="B104" s="3" t="inlineStr">
        <is>
          <t>12033</t>
        </is>
      </c>
      <c r="C104" s="10" t="n">
        <v>45666.24444444444</v>
      </c>
      <c r="D104" s="10" t="n">
        <v>45666.24600694444</v>
      </c>
      <c r="E104" s="10" t="n">
        <v>45666.2529050926</v>
      </c>
      <c r="F104" s="10" t="n">
        <v>45666.2546412037</v>
      </c>
      <c r="G104" s="3" t="inlineStr">
        <is>
          <t>OBT090125064941-Vienna</t>
        </is>
      </c>
      <c r="H104" s="10" t="n">
        <v>45666.28450231482</v>
      </c>
      <c r="I104" s="10" t="n">
        <v>45666.30943287037</v>
      </c>
      <c r="J104" s="10" t="n">
        <v>45666.31032407407</v>
      </c>
      <c r="K104" s="11">
        <f>IF(AND(ISNUMBER(D104),ISNUMBER(E104)),(E104-D104),"")</f>
        <v/>
      </c>
      <c r="L104" s="11">
        <f>IF(AND(ISNUMBER(F104),ISNUMBER(I104)),(I104-F104),"")</f>
        <v/>
      </c>
    </row>
    <row r="105">
      <c r="A105" s="3" t="inlineStr">
        <is>
          <t>1203302</t>
        </is>
      </c>
      <c r="B105" s="3" t="inlineStr">
        <is>
          <t>12033</t>
        </is>
      </c>
      <c r="C105" s="10" t="n">
        <v>45666.24444444444</v>
      </c>
      <c r="D105" s="10" t="n">
        <v>45666.24600694444</v>
      </c>
      <c r="E105" s="10" t="n">
        <v>45666.2546412037</v>
      </c>
      <c r="F105" s="10" t="n">
        <v>45666.25641203704</v>
      </c>
      <c r="G105" s="3" t="inlineStr">
        <is>
          <t>OBT100125165112-Innsbruck</t>
        </is>
      </c>
      <c r="H105" s="10" t="n">
        <v>45667.70222222222</v>
      </c>
      <c r="I105" s="10" t="n">
        <v>45667.73083333333</v>
      </c>
      <c r="J105" s="10" t="n">
        <v>45667.73171296297</v>
      </c>
      <c r="K105" s="11">
        <f>IF(AND(ISNUMBER(D105),ISNUMBER(E105)),(E105-D105),"")</f>
        <v/>
      </c>
      <c r="L105" s="11">
        <f>IF(AND(ISNUMBER(F105),ISNUMBER(I105)),(I105-F105),"")</f>
        <v/>
      </c>
    </row>
    <row r="106">
      <c r="A106" s="3" t="inlineStr">
        <is>
          <t>1203303</t>
        </is>
      </c>
      <c r="B106" s="3" t="inlineStr">
        <is>
          <t>12033</t>
        </is>
      </c>
      <c r="C106" s="10" t="n">
        <v>45666.24444444444</v>
      </c>
      <c r="D106" s="10" t="n">
        <v>45666.24600694444</v>
      </c>
      <c r="E106" s="10" t="n">
        <v>45666.25641203704</v>
      </c>
      <c r="F106" s="10" t="n">
        <v>45666.25806712963</v>
      </c>
      <c r="G106" s="3" t="inlineStr">
        <is>
          <t>OBT090125064941-Vienna</t>
        </is>
      </c>
      <c r="H106" s="10" t="n">
        <v>45666.28450231482</v>
      </c>
      <c r="I106" s="10" t="n">
        <v>45666.30943287037</v>
      </c>
      <c r="J106" s="10" t="n">
        <v>45666.31032407407</v>
      </c>
      <c r="K106" s="11">
        <f>IF(AND(ISNUMBER(D106),ISNUMBER(E106)),(E106-D106),"")</f>
        <v/>
      </c>
      <c r="L106" s="11">
        <f>IF(AND(ISNUMBER(F106),ISNUMBER(I106)),(I106-F106),"")</f>
        <v/>
      </c>
    </row>
    <row r="107">
      <c r="A107" s="3" t="inlineStr">
        <is>
          <t>1203401</t>
        </is>
      </c>
      <c r="B107" s="3" t="inlineStr">
        <is>
          <t>12034</t>
        </is>
      </c>
      <c r="C107" s="10" t="n">
        <v>45666.45833333334</v>
      </c>
      <c r="D107" s="10" t="n">
        <v>45666.45989583333</v>
      </c>
      <c r="E107" s="10" t="n">
        <v>45666.46582175926</v>
      </c>
      <c r="F107" s="10" t="n">
        <v>45666.46722222222</v>
      </c>
      <c r="G107" s="3" t="inlineStr">
        <is>
          <t>OBT090125113246-Budapest</t>
        </is>
      </c>
      <c r="H107" s="10" t="n">
        <v>45666.48108796297</v>
      </c>
      <c r="I107" s="10" t="n">
        <v>45666.50417824074</v>
      </c>
      <c r="J107" s="10" t="n">
        <v>45666.50494212963</v>
      </c>
      <c r="K107" s="11">
        <f>IF(AND(ISNUMBER(D107),ISNUMBER(E107)),(E107-D107),"")</f>
        <v/>
      </c>
      <c r="L107" s="11">
        <f>IF(AND(ISNUMBER(F107),ISNUMBER(I107)),(I107-F107),"")</f>
        <v/>
      </c>
    </row>
    <row r="108">
      <c r="A108" s="3" t="inlineStr">
        <is>
          <t>1203402</t>
        </is>
      </c>
      <c r="B108" s="3" t="inlineStr">
        <is>
          <t>12034</t>
        </is>
      </c>
      <c r="C108" s="10" t="n">
        <v>45666.45833333334</v>
      </c>
      <c r="D108" s="10" t="n">
        <v>45666.45989583333</v>
      </c>
      <c r="E108" s="10" t="n">
        <v>45666.46582175926</v>
      </c>
      <c r="F108" s="10" t="n">
        <v>45666.46722222222</v>
      </c>
      <c r="G108" s="3" t="inlineStr">
        <is>
          <t>OBT090125113246-Budapest</t>
        </is>
      </c>
      <c r="H108" s="10" t="n">
        <v>45666.48108796297</v>
      </c>
      <c r="I108" s="10" t="n">
        <v>45666.50417824074</v>
      </c>
      <c r="J108" s="10" t="n">
        <v>45666.50494212963</v>
      </c>
      <c r="K108" s="11">
        <f>IF(AND(ISNUMBER(D108),ISNUMBER(E108)),(E108-D108),"")</f>
        <v/>
      </c>
      <c r="L108" s="11">
        <f>IF(AND(ISNUMBER(F108),ISNUMBER(I108)),(I108-F108),"")</f>
        <v/>
      </c>
    </row>
    <row r="109">
      <c r="A109" s="3" t="inlineStr">
        <is>
          <t>1203403</t>
        </is>
      </c>
      <c r="B109" s="3" t="inlineStr">
        <is>
          <t>12034</t>
        </is>
      </c>
      <c r="C109" s="10" t="n">
        <v>45666.45833333334</v>
      </c>
      <c r="D109" s="10" t="n">
        <v>45666.45989583333</v>
      </c>
      <c r="E109" s="10" t="n">
        <v>45666.46582175926</v>
      </c>
      <c r="F109" s="10" t="n">
        <v>45666.46722222222</v>
      </c>
      <c r="G109" s="3" t="inlineStr">
        <is>
          <t>OBT090125113246-Budapest</t>
        </is>
      </c>
      <c r="H109" s="10" t="n">
        <v>45666.48108796297</v>
      </c>
      <c r="I109" s="10" t="n">
        <v>45666.50417824074</v>
      </c>
      <c r="J109" s="10" t="n">
        <v>45666.50494212963</v>
      </c>
      <c r="K109" s="11">
        <f>IF(AND(ISNUMBER(D109),ISNUMBER(E109)),(E109-D109),"")</f>
        <v/>
      </c>
      <c r="L109" s="11">
        <f>IF(AND(ISNUMBER(F109),ISNUMBER(I109)),(I109-F109),"")</f>
        <v/>
      </c>
    </row>
    <row r="110">
      <c r="A110" s="3" t="inlineStr">
        <is>
          <t>1203404</t>
        </is>
      </c>
      <c r="B110" s="3" t="inlineStr">
        <is>
          <t>12034</t>
        </is>
      </c>
      <c r="C110" s="10" t="n">
        <v>45666.45833333334</v>
      </c>
      <c r="D110" s="10" t="n">
        <v>45666.45989583333</v>
      </c>
      <c r="E110" s="10" t="n">
        <v>45666.46722222222</v>
      </c>
      <c r="F110" s="10" t="n">
        <v>45666.46854166667</v>
      </c>
      <c r="G110" s="3" t="inlineStr">
        <is>
          <t>OBT090125114855-Salzburg</t>
        </is>
      </c>
      <c r="H110" s="10" t="n">
        <v>45666.49230324074</v>
      </c>
      <c r="I110" s="10" t="n">
        <v>45666.52924768518</v>
      </c>
      <c r="J110" s="10" t="n">
        <v>45666.53016203704</v>
      </c>
      <c r="K110" s="11">
        <f>IF(AND(ISNUMBER(D110),ISNUMBER(E110)),(E110-D110),"")</f>
        <v/>
      </c>
      <c r="L110" s="11">
        <f>IF(AND(ISNUMBER(F110),ISNUMBER(I110)),(I110-F110),"")</f>
        <v/>
      </c>
    </row>
    <row r="111">
      <c r="A111" s="3" t="inlineStr">
        <is>
          <t>1203501</t>
        </is>
      </c>
      <c r="B111" s="3" t="inlineStr">
        <is>
          <t>12035</t>
        </is>
      </c>
      <c r="C111" s="10" t="n">
        <v>45666.45833333334</v>
      </c>
      <c r="D111" s="10" t="n">
        <v>45666.46037037037</v>
      </c>
      <c r="E111" s="10" t="n">
        <v>45666.46940972222</v>
      </c>
      <c r="F111" s="10" t="n">
        <v>45666.47076388889</v>
      </c>
      <c r="G111" s="3" t="inlineStr">
        <is>
          <t>OBT090125114855-Salzburg</t>
        </is>
      </c>
      <c r="H111" s="10" t="n">
        <v>45666.49230324074</v>
      </c>
      <c r="I111" s="10" t="n">
        <v>45666.52924768518</v>
      </c>
      <c r="J111" s="10" t="n">
        <v>45666.53016203704</v>
      </c>
      <c r="K111" s="11">
        <f>IF(AND(ISNUMBER(D111),ISNUMBER(E111)),(E111-D111),"")</f>
        <v/>
      </c>
      <c r="L111" s="11">
        <f>IF(AND(ISNUMBER(F111),ISNUMBER(I111)),(I111-F111),"")</f>
        <v/>
      </c>
    </row>
    <row r="112">
      <c r="A112" s="3" t="inlineStr">
        <is>
          <t>1203502</t>
        </is>
      </c>
      <c r="B112" s="3" t="inlineStr">
        <is>
          <t>12035</t>
        </is>
      </c>
      <c r="C112" s="10" t="n">
        <v>45666.45833333334</v>
      </c>
      <c r="D112" s="10" t="n">
        <v>45666.46037037037</v>
      </c>
      <c r="E112" s="10" t="n">
        <v>45666.47076388889</v>
      </c>
      <c r="F112" s="10" t="n">
        <v>45666.47282407407</v>
      </c>
      <c r="G112" s="3" t="inlineStr">
        <is>
          <t>OBT090125135236-Linz</t>
        </is>
      </c>
      <c r="H112" s="10" t="n">
        <v>45666.57819444445</v>
      </c>
      <c r="I112" s="10" t="n">
        <v>45666.62520833333</v>
      </c>
      <c r="J112" s="10" t="n">
        <v>45666.62597222222</v>
      </c>
      <c r="K112" s="11">
        <f>IF(AND(ISNUMBER(D112),ISNUMBER(E112)),(E112-D112),"")</f>
        <v/>
      </c>
      <c r="L112" s="11">
        <f>IF(AND(ISNUMBER(F112),ISNUMBER(I112)),(I112-F112),"")</f>
        <v/>
      </c>
    </row>
    <row r="113">
      <c r="A113" s="3" t="inlineStr">
        <is>
          <t>1203503</t>
        </is>
      </c>
      <c r="B113" s="3" t="inlineStr">
        <is>
          <t>12035</t>
        </is>
      </c>
      <c r="C113" s="10" t="n">
        <v>45666.45833333334</v>
      </c>
      <c r="D113" s="10" t="n">
        <v>45666.46037037037</v>
      </c>
      <c r="E113" s="10" t="n">
        <v>45666.47282407407</v>
      </c>
      <c r="F113" s="10" t="n">
        <v>45666.47431712963</v>
      </c>
      <c r="G113" s="3" t="inlineStr">
        <is>
          <t>OBT090125114855-Salzburg</t>
        </is>
      </c>
      <c r="H113" s="10" t="n">
        <v>45666.49230324074</v>
      </c>
      <c r="I113" s="10" t="n">
        <v>45666.52924768518</v>
      </c>
      <c r="J113" s="10" t="n">
        <v>45666.53016203704</v>
      </c>
      <c r="K113" s="11">
        <f>IF(AND(ISNUMBER(D113),ISNUMBER(E113)),(E113-D113),"")</f>
        <v/>
      </c>
      <c r="L113" s="11">
        <f>IF(AND(ISNUMBER(F113),ISNUMBER(I113)),(I113-F113),"")</f>
        <v/>
      </c>
    </row>
    <row r="114">
      <c r="A114" s="3" t="inlineStr">
        <is>
          <t>1203504</t>
        </is>
      </c>
      <c r="B114" s="3" t="inlineStr">
        <is>
          <t>12035</t>
        </is>
      </c>
      <c r="C114" s="10" t="n">
        <v>45666.45833333334</v>
      </c>
      <c r="D114" s="10" t="n">
        <v>45666.46037037037</v>
      </c>
      <c r="E114" s="10" t="n">
        <v>45666.47282407407</v>
      </c>
      <c r="F114" s="10" t="n">
        <v>45666.47431712963</v>
      </c>
      <c r="G114" s="3" t="inlineStr">
        <is>
          <t>OBT090125114855-Salzburg</t>
        </is>
      </c>
      <c r="H114" s="10" t="n">
        <v>45666.49230324074</v>
      </c>
      <c r="I114" s="10" t="n">
        <v>45666.52924768518</v>
      </c>
      <c r="J114" s="10" t="n">
        <v>45666.53016203704</v>
      </c>
      <c r="K114" s="11">
        <f>IF(AND(ISNUMBER(D114),ISNUMBER(E114)),(E114-D114),"")</f>
        <v/>
      </c>
      <c r="L114" s="11">
        <f>IF(AND(ISNUMBER(F114),ISNUMBER(I114)),(I114-F114),"")</f>
        <v/>
      </c>
    </row>
    <row r="115">
      <c r="A115" s="3" t="inlineStr">
        <is>
          <t>1203601</t>
        </is>
      </c>
      <c r="B115" s="3" t="inlineStr">
        <is>
          <t>12036</t>
        </is>
      </c>
      <c r="C115" s="10" t="n">
        <v>45666.54166666666</v>
      </c>
      <c r="D115" s="10" t="n">
        <v>45666.54392361111</v>
      </c>
      <c r="E115" s="10" t="n">
        <v>45666.55113425926</v>
      </c>
      <c r="F115" s="10" t="n">
        <v>45666.55244212963</v>
      </c>
      <c r="G115" s="3" t="inlineStr">
        <is>
          <t>OBT090125134430-Vienna</t>
        </is>
      </c>
      <c r="H115" s="10" t="n">
        <v>45666.57256944444</v>
      </c>
      <c r="I115" s="10" t="n">
        <v>45666.6047800926</v>
      </c>
      <c r="J115" s="10" t="n">
        <v>45666.60565972222</v>
      </c>
      <c r="K115" s="11">
        <f>IF(AND(ISNUMBER(D115),ISNUMBER(E115)),(E115-D115),"")</f>
        <v/>
      </c>
      <c r="L115" s="11">
        <f>IF(AND(ISNUMBER(F115),ISNUMBER(I115)),(I115-F115),"")</f>
        <v/>
      </c>
    </row>
    <row r="116">
      <c r="A116" s="3" t="inlineStr">
        <is>
          <t>1203602</t>
        </is>
      </c>
      <c r="B116" s="3" t="inlineStr">
        <is>
          <t>12036</t>
        </is>
      </c>
      <c r="C116" s="10" t="n">
        <v>45666.54166666666</v>
      </c>
      <c r="D116" s="10" t="n">
        <v>45666.54392361111</v>
      </c>
      <c r="E116" s="10" t="n">
        <v>45666.55113425926</v>
      </c>
      <c r="F116" s="10" t="n">
        <v>45666.55244212963</v>
      </c>
      <c r="G116" s="3" t="inlineStr">
        <is>
          <t>OBT090125134430-Vienna</t>
        </is>
      </c>
      <c r="H116" s="10" t="n">
        <v>45666.57256944444</v>
      </c>
      <c r="I116" s="10" t="n">
        <v>45666.6047800926</v>
      </c>
      <c r="J116" s="10" t="n">
        <v>45666.60565972222</v>
      </c>
      <c r="K116" s="11">
        <f>IF(AND(ISNUMBER(D116),ISNUMBER(E116)),(E116-D116),"")</f>
        <v/>
      </c>
      <c r="L116" s="11">
        <f>IF(AND(ISNUMBER(F116),ISNUMBER(I116)),(I116-F116),"")</f>
        <v/>
      </c>
    </row>
    <row r="117">
      <c r="A117" s="3" t="inlineStr">
        <is>
          <t>1203603</t>
        </is>
      </c>
      <c r="B117" s="3" t="inlineStr">
        <is>
          <t>12036</t>
        </is>
      </c>
      <c r="C117" s="10" t="n">
        <v>45666.54166666666</v>
      </c>
      <c r="D117" s="10" t="n">
        <v>45666.54392361111</v>
      </c>
      <c r="E117" s="10" t="n">
        <v>45666.55244212963</v>
      </c>
      <c r="F117" s="10" t="n">
        <v>45666.55416666667</v>
      </c>
      <c r="G117" s="3" t="inlineStr">
        <is>
          <t>OBT090125134651-Budapest</t>
        </is>
      </c>
      <c r="H117" s="10" t="n">
        <v>45666.57420138889</v>
      </c>
      <c r="I117" s="10" t="n">
        <v>45666.63328703704</v>
      </c>
      <c r="J117" s="10" t="n">
        <v>45666.63420138889</v>
      </c>
      <c r="K117" s="11">
        <f>IF(AND(ISNUMBER(D117),ISNUMBER(E117)),(E117-D117),"")</f>
        <v/>
      </c>
      <c r="L117" s="11">
        <f>IF(AND(ISNUMBER(F117),ISNUMBER(I117)),(I117-F117),"")</f>
        <v/>
      </c>
    </row>
    <row r="118">
      <c r="A118" s="3" t="inlineStr">
        <is>
          <t>1203604</t>
        </is>
      </c>
      <c r="B118" s="3" t="inlineStr">
        <is>
          <t>12036</t>
        </is>
      </c>
      <c r="C118" s="10" t="n">
        <v>45666.54166666666</v>
      </c>
      <c r="D118" s="10" t="n">
        <v>45666.54392361111</v>
      </c>
      <c r="E118" s="10" t="n">
        <v>45666.55244212963</v>
      </c>
      <c r="F118" s="10" t="n">
        <v>45666.55416666667</v>
      </c>
      <c r="G118" s="3" t="inlineStr">
        <is>
          <t>OBT090125134651-Budapest</t>
        </is>
      </c>
      <c r="H118" s="10" t="n">
        <v>45666.57420138889</v>
      </c>
      <c r="I118" s="10" t="n">
        <v>45666.63328703704</v>
      </c>
      <c r="J118" s="10" t="n">
        <v>45666.63420138889</v>
      </c>
      <c r="K118" s="11">
        <f>IF(AND(ISNUMBER(D118),ISNUMBER(E118)),(E118-D118),"")</f>
        <v/>
      </c>
      <c r="L118" s="11">
        <f>IF(AND(ISNUMBER(F118),ISNUMBER(I118)),(I118-F118),"")</f>
        <v/>
      </c>
    </row>
    <row r="119">
      <c r="A119" s="3" t="inlineStr">
        <is>
          <t>1203605</t>
        </is>
      </c>
      <c r="B119" s="3" t="inlineStr">
        <is>
          <t>12036</t>
        </is>
      </c>
      <c r="C119" s="10" t="n">
        <v>45666.54166666666</v>
      </c>
      <c r="D119" s="10" t="n">
        <v>45666.54392361111</v>
      </c>
      <c r="E119" s="10" t="n">
        <v>45666.55244212963</v>
      </c>
      <c r="F119" s="10" t="n">
        <v>45666.55416666667</v>
      </c>
      <c r="G119" s="3" t="inlineStr">
        <is>
          <t>OBT090125134651-Budapest</t>
        </is>
      </c>
      <c r="H119" s="10" t="n">
        <v>45666.57420138889</v>
      </c>
      <c r="I119" s="10" t="n">
        <v>45666.63328703704</v>
      </c>
      <c r="J119" s="10" t="n">
        <v>45666.63420138889</v>
      </c>
      <c r="K119" s="11">
        <f>IF(AND(ISNUMBER(D119),ISNUMBER(E119)),(E119-D119),"")</f>
        <v/>
      </c>
      <c r="L119" s="11">
        <f>IF(AND(ISNUMBER(F119),ISNUMBER(I119)),(I119-F119),"")</f>
        <v/>
      </c>
    </row>
    <row r="120">
      <c r="A120" s="3" t="inlineStr">
        <is>
          <t>1203701</t>
        </is>
      </c>
      <c r="B120" s="3" t="inlineStr">
        <is>
          <t>12037</t>
        </is>
      </c>
      <c r="C120" s="10" t="n">
        <v>45666.54652777778</v>
      </c>
      <c r="D120" s="10" t="n">
        <v>45666.54809027778</v>
      </c>
      <c r="E120" s="10" t="n">
        <v>45666.55509259259</v>
      </c>
      <c r="F120" s="10" t="n">
        <v>45666.55712962963</v>
      </c>
      <c r="G120" s="3" t="inlineStr">
        <is>
          <t>OBT090125135236-Linz</t>
        </is>
      </c>
      <c r="H120" s="10" t="n">
        <v>45666.57819444445</v>
      </c>
      <c r="I120" s="10" t="n">
        <v>45666.62520833333</v>
      </c>
      <c r="J120" s="10" t="n">
        <v>45666.62597222222</v>
      </c>
      <c r="K120" s="11">
        <f>IF(AND(ISNUMBER(D120),ISNUMBER(E120)),(E120-D120),"")</f>
        <v/>
      </c>
      <c r="L120" s="11">
        <f>IF(AND(ISNUMBER(F120),ISNUMBER(I120)),(I120-F120),"")</f>
        <v/>
      </c>
    </row>
    <row r="121">
      <c r="A121" s="3" t="inlineStr">
        <is>
          <t>1203702</t>
        </is>
      </c>
      <c r="B121" s="3" t="inlineStr">
        <is>
          <t>12037</t>
        </is>
      </c>
      <c r="C121" s="10" t="n">
        <v>45666.54652777778</v>
      </c>
      <c r="D121" s="10" t="n">
        <v>45666.54809027778</v>
      </c>
      <c r="E121" s="10" t="n">
        <v>45666.55712962963</v>
      </c>
      <c r="F121" s="10" t="n">
        <v>45666.55844907407</v>
      </c>
      <c r="G121" s="3" t="inlineStr">
        <is>
          <t>OBT090125134430-Vienna</t>
        </is>
      </c>
      <c r="H121" s="10" t="n">
        <v>45666.57256944444</v>
      </c>
      <c r="I121" s="10" t="n">
        <v>45666.6047800926</v>
      </c>
      <c r="J121" s="10" t="n">
        <v>45666.60565972222</v>
      </c>
      <c r="K121" s="11">
        <f>IF(AND(ISNUMBER(D121),ISNUMBER(E121)),(E121-D121),"")</f>
        <v/>
      </c>
      <c r="L121" s="11">
        <f>IF(AND(ISNUMBER(F121),ISNUMBER(I121)),(I121-F121),"")</f>
        <v/>
      </c>
    </row>
    <row r="122">
      <c r="A122" s="3" t="inlineStr">
        <is>
          <t>1203703</t>
        </is>
      </c>
      <c r="B122" s="3" t="inlineStr">
        <is>
          <t>12037</t>
        </is>
      </c>
      <c r="C122" s="10" t="n">
        <v>45666.54652777778</v>
      </c>
      <c r="D122" s="10" t="n">
        <v>45666.54809027778</v>
      </c>
      <c r="E122" s="10" t="n">
        <v>45666.55712962963</v>
      </c>
      <c r="F122" s="10" t="n">
        <v>45666.55844907407</v>
      </c>
      <c r="G122" s="3" t="inlineStr">
        <is>
          <t>OBT090125134430-Vienna</t>
        </is>
      </c>
      <c r="H122" s="10" t="n">
        <v>45666.57256944444</v>
      </c>
      <c r="I122" s="10" t="n">
        <v>45666.6047800926</v>
      </c>
      <c r="J122" s="10" t="n">
        <v>45666.60565972222</v>
      </c>
      <c r="K122" s="11">
        <f>IF(AND(ISNUMBER(D122),ISNUMBER(E122)),(E122-D122),"")</f>
        <v/>
      </c>
      <c r="L122" s="11">
        <f>IF(AND(ISNUMBER(F122),ISNUMBER(I122)),(I122-F122),"")</f>
        <v/>
      </c>
    </row>
    <row r="123">
      <c r="A123" s="3" t="inlineStr">
        <is>
          <t>1203704</t>
        </is>
      </c>
      <c r="B123" s="3" t="inlineStr">
        <is>
          <t>12037</t>
        </is>
      </c>
      <c r="C123" s="10" t="n">
        <v>45666.54652777778</v>
      </c>
      <c r="D123" s="10" t="n">
        <v>45666.54809027778</v>
      </c>
      <c r="E123" s="10" t="n">
        <v>45666.55844907407</v>
      </c>
      <c r="F123" s="10" t="n">
        <v>45666.56043981481</v>
      </c>
      <c r="G123" s="3" t="inlineStr">
        <is>
          <t>OBT090125133851-Graz</t>
        </is>
      </c>
      <c r="H123" s="10" t="n">
        <v>45666.56864583334</v>
      </c>
      <c r="I123" s="10" t="n">
        <v>45666.59449074074</v>
      </c>
      <c r="J123" s="10" t="n">
        <v>45666.59537037037</v>
      </c>
      <c r="K123" s="11">
        <f>IF(AND(ISNUMBER(D123),ISNUMBER(E123)),(E123-D123),"")</f>
        <v/>
      </c>
      <c r="L123" s="11">
        <f>IF(AND(ISNUMBER(F123),ISNUMBER(I123)),(I123-F123),"")</f>
        <v/>
      </c>
    </row>
    <row r="124">
      <c r="A124" s="3" t="inlineStr">
        <is>
          <t>1203801</t>
        </is>
      </c>
      <c r="B124" s="3" t="inlineStr">
        <is>
          <t>12038</t>
        </is>
      </c>
      <c r="C124" s="10" t="n">
        <v>45666.55902777778</v>
      </c>
      <c r="D124" s="10" t="n">
        <v>45666.56079861111</v>
      </c>
      <c r="E124" s="10" t="n">
        <v>45666.56612268519</v>
      </c>
      <c r="F124" s="10" t="n">
        <v>45666.56789351852</v>
      </c>
      <c r="G124" s="3" t="inlineStr">
        <is>
          <t>OBT090125232040-Salzburg</t>
        </is>
      </c>
      <c r="H124" s="10" t="n">
        <v>45666.97268518519</v>
      </c>
      <c r="I124" s="10" t="n">
        <v>45667.00688657408</v>
      </c>
      <c r="J124" s="10" t="n">
        <v>45667.00792824074</v>
      </c>
      <c r="K124" s="11">
        <f>IF(AND(ISNUMBER(D124),ISNUMBER(E124)),(E124-D124),"")</f>
        <v/>
      </c>
      <c r="L124" s="11">
        <f>IF(AND(ISNUMBER(F124),ISNUMBER(I124)),(I124-F124),"")</f>
        <v/>
      </c>
    </row>
    <row r="125">
      <c r="A125" s="3" t="inlineStr">
        <is>
          <t>1203802</t>
        </is>
      </c>
      <c r="B125" s="3" t="inlineStr">
        <is>
          <t>12038</t>
        </is>
      </c>
      <c r="C125" s="10" t="n">
        <v>45666.55902777778</v>
      </c>
      <c r="D125" s="10" t="n">
        <v>45666.56079861111</v>
      </c>
      <c r="E125" s="10" t="n">
        <v>45666.56789351852</v>
      </c>
      <c r="F125" s="10" t="n">
        <v>45666.56998842592</v>
      </c>
      <c r="G125" s="3" t="inlineStr">
        <is>
          <t>OBT090125135236-Linz</t>
        </is>
      </c>
      <c r="H125" s="10" t="n">
        <v>45666.57819444445</v>
      </c>
      <c r="I125" s="10" t="n">
        <v>45666.62520833333</v>
      </c>
      <c r="J125" s="10" t="n">
        <v>45666.62597222222</v>
      </c>
      <c r="K125" s="11">
        <f>IF(AND(ISNUMBER(D125),ISNUMBER(E125)),(E125-D125),"")</f>
        <v/>
      </c>
      <c r="L125" s="11">
        <f>IF(AND(ISNUMBER(F125),ISNUMBER(I125)),(I125-F125),"")</f>
        <v/>
      </c>
    </row>
    <row r="126">
      <c r="A126" s="3" t="inlineStr">
        <is>
          <t>1203901</t>
        </is>
      </c>
      <c r="B126" s="3" t="inlineStr">
        <is>
          <t>12039</t>
        </is>
      </c>
      <c r="C126" s="10" t="n">
        <v>45666.56875</v>
      </c>
      <c r="D126" s="10" t="n">
        <v>45666.57034722222</v>
      </c>
      <c r="E126" s="10" t="n">
        <v>45666.57655092593</v>
      </c>
      <c r="F126" s="10" t="n">
        <v>45666.57842592592</v>
      </c>
      <c r="G126" s="3" t="inlineStr">
        <is>
          <t>OBT090125142948-Vienna</t>
        </is>
      </c>
      <c r="H126" s="10" t="n">
        <v>45666.60402777778</v>
      </c>
      <c r="I126" s="10" t="n">
        <v>45666.65269675926</v>
      </c>
      <c r="J126" s="10" t="n">
        <v>45666.65357638889</v>
      </c>
      <c r="K126" s="11">
        <f>IF(AND(ISNUMBER(D126),ISNUMBER(E126)),(E126-D126),"")</f>
        <v/>
      </c>
      <c r="L126" s="11">
        <f>IF(AND(ISNUMBER(F126),ISNUMBER(I126)),(I126-F126),"")</f>
        <v/>
      </c>
    </row>
    <row r="127">
      <c r="A127" s="3" t="inlineStr">
        <is>
          <t>1203902</t>
        </is>
      </c>
      <c r="B127" s="3" t="inlineStr">
        <is>
          <t>12039</t>
        </is>
      </c>
      <c r="C127" s="10" t="n">
        <v>45666.56875</v>
      </c>
      <c r="D127" s="10" t="n">
        <v>45666.57034722222</v>
      </c>
      <c r="E127" s="10" t="n">
        <v>45666.57842592592</v>
      </c>
      <c r="F127" s="10" t="n">
        <v>45666.58023148148</v>
      </c>
      <c r="G127" s="3" t="inlineStr">
        <is>
          <t>OBT090125141313-Ljubljana</t>
        </is>
      </c>
      <c r="H127" s="10" t="n">
        <v>45666.59251157408</v>
      </c>
      <c r="I127" s="10" t="n">
        <v>45666.62597222222</v>
      </c>
      <c r="J127" s="10" t="n">
        <v>45666.62681712963</v>
      </c>
      <c r="K127" s="11">
        <f>IF(AND(ISNUMBER(D127),ISNUMBER(E127)),(E127-D127),"")</f>
        <v/>
      </c>
      <c r="L127" s="11">
        <f>IF(AND(ISNUMBER(F127),ISNUMBER(I127)),(I127-F127),"")</f>
        <v/>
      </c>
    </row>
    <row r="128">
      <c r="A128" s="3" t="inlineStr">
        <is>
          <t>1203903</t>
        </is>
      </c>
      <c r="B128" s="3" t="inlineStr">
        <is>
          <t>12039</t>
        </is>
      </c>
      <c r="C128" s="10" t="n">
        <v>45666.56875</v>
      </c>
      <c r="D128" s="10" t="n">
        <v>45666.57034722222</v>
      </c>
      <c r="E128" s="10" t="n">
        <v>45666.57842592592</v>
      </c>
      <c r="F128" s="10" t="n">
        <v>45666.58023148148</v>
      </c>
      <c r="G128" s="3" t="inlineStr">
        <is>
          <t>OBT090125141313-Ljubljana</t>
        </is>
      </c>
      <c r="H128" s="10" t="n">
        <v>45666.59251157408</v>
      </c>
      <c r="I128" s="10" t="n">
        <v>45666.62597222222</v>
      </c>
      <c r="J128" s="10" t="n">
        <v>45666.62681712963</v>
      </c>
      <c r="K128" s="11">
        <f>IF(AND(ISNUMBER(D128),ISNUMBER(E128)),(E128-D128),"")</f>
        <v/>
      </c>
      <c r="L128" s="11">
        <f>IF(AND(ISNUMBER(F128),ISNUMBER(I128)),(I128-F128),"")</f>
        <v/>
      </c>
    </row>
    <row r="129">
      <c r="A129" s="3" t="inlineStr">
        <is>
          <t>1204001</t>
        </is>
      </c>
      <c r="B129" s="3" t="inlineStr">
        <is>
          <t>12040</t>
        </is>
      </c>
      <c r="C129" s="10" t="n">
        <v>45666.57638888889</v>
      </c>
      <c r="D129" s="10" t="n">
        <v>45666.57842592592</v>
      </c>
      <c r="E129" s="10" t="n">
        <v>45666.5856712963</v>
      </c>
      <c r="F129" s="10" t="n">
        <v>45666.58732638889</v>
      </c>
      <c r="G129" s="3" t="inlineStr">
        <is>
          <t>OBT090125142902-Graz</t>
        </is>
      </c>
      <c r="H129" s="10" t="n">
        <v>45666.60349537037</v>
      </c>
      <c r="I129" s="10" t="n">
        <v>45666.64916666667</v>
      </c>
      <c r="J129" s="10" t="n">
        <v>45666.65</v>
      </c>
      <c r="K129" s="11">
        <f>IF(AND(ISNUMBER(D129),ISNUMBER(E129)),(E129-D129),"")</f>
        <v/>
      </c>
      <c r="L129" s="11">
        <f>IF(AND(ISNUMBER(F129),ISNUMBER(I129)),(I129-F129),"")</f>
        <v/>
      </c>
    </row>
    <row r="130">
      <c r="A130" s="3" t="inlineStr">
        <is>
          <t>1204002</t>
        </is>
      </c>
      <c r="B130" s="3" t="inlineStr">
        <is>
          <t>12040</t>
        </is>
      </c>
      <c r="C130" s="10" t="n">
        <v>45666.57638888889</v>
      </c>
      <c r="D130" s="10" t="n">
        <v>45666.57842592592</v>
      </c>
      <c r="E130" s="10" t="n">
        <v>45666.58732638889</v>
      </c>
      <c r="F130" s="10" t="n">
        <v>45666.58918981482</v>
      </c>
      <c r="G130" s="3" t="inlineStr">
        <is>
          <t>OBT090125142948-Vienna</t>
        </is>
      </c>
      <c r="H130" s="10" t="n">
        <v>45666.60402777778</v>
      </c>
      <c r="I130" s="10" t="n">
        <v>45666.65269675926</v>
      </c>
      <c r="J130" s="10" t="n">
        <v>45666.65357638889</v>
      </c>
      <c r="K130" s="11">
        <f>IF(AND(ISNUMBER(D130),ISNUMBER(E130)),(E130-D130),"")</f>
        <v/>
      </c>
      <c r="L130" s="11">
        <f>IF(AND(ISNUMBER(F130),ISNUMBER(I130)),(I130-F130),"")</f>
        <v/>
      </c>
    </row>
    <row r="131">
      <c r="A131" s="3" t="inlineStr">
        <is>
          <t>1204003</t>
        </is>
      </c>
      <c r="B131" s="3" t="inlineStr">
        <is>
          <t>12040</t>
        </is>
      </c>
      <c r="C131" s="10" t="n">
        <v>45666.57638888889</v>
      </c>
      <c r="D131" s="10" t="n">
        <v>45666.57842592592</v>
      </c>
      <c r="E131" s="10" t="n">
        <v>45666.58918981482</v>
      </c>
      <c r="F131" s="10" t="n">
        <v>45666.59076388889</v>
      </c>
      <c r="G131" s="3" t="inlineStr">
        <is>
          <t>OBT090125142902-Graz</t>
        </is>
      </c>
      <c r="H131" s="10" t="n">
        <v>45666.60349537037</v>
      </c>
      <c r="I131" s="10" t="n">
        <v>45666.64916666667</v>
      </c>
      <c r="J131" s="10" t="n">
        <v>45666.65</v>
      </c>
      <c r="K131" s="11">
        <f>IF(AND(ISNUMBER(D131),ISNUMBER(E131)),(E131-D131),"")</f>
        <v/>
      </c>
      <c r="L131" s="11">
        <f>IF(AND(ISNUMBER(F131),ISNUMBER(I131)),(I131-F131),"")</f>
        <v/>
      </c>
    </row>
    <row r="132">
      <c r="A132" s="3" t="inlineStr">
        <is>
          <t>1204101</t>
        </is>
      </c>
      <c r="B132" s="3" t="inlineStr">
        <is>
          <t>12041</t>
        </is>
      </c>
      <c r="C132" s="10" t="n">
        <v>45666.79166666666</v>
      </c>
      <c r="D132" s="10" t="n">
        <v>45666.79358796297</v>
      </c>
      <c r="E132" s="10" t="n">
        <v>45666.79952546296</v>
      </c>
      <c r="F132" s="10" t="n">
        <v>45666.8009837963</v>
      </c>
      <c r="G132" s="3" t="inlineStr">
        <is>
          <t>OBT090125193547-Budapest</t>
        </is>
      </c>
      <c r="H132" s="10" t="n">
        <v>45666.8165162037</v>
      </c>
      <c r="I132" s="10" t="n">
        <v>45666.84237268518</v>
      </c>
      <c r="J132" s="10" t="n">
        <v>45666.8431712963</v>
      </c>
      <c r="K132" s="11">
        <f>IF(AND(ISNUMBER(D132),ISNUMBER(E132)),(E132-D132),"")</f>
        <v/>
      </c>
      <c r="L132" s="11">
        <f>IF(AND(ISNUMBER(F132),ISNUMBER(I132)),(I132-F132),"")</f>
        <v/>
      </c>
    </row>
    <row r="133">
      <c r="A133" s="3" t="inlineStr">
        <is>
          <t>1204102</t>
        </is>
      </c>
      <c r="B133" s="3" t="inlineStr">
        <is>
          <t>12041</t>
        </is>
      </c>
      <c r="C133" s="10" t="n">
        <v>45666.79166666666</v>
      </c>
      <c r="D133" s="10" t="n">
        <v>45666.79358796297</v>
      </c>
      <c r="E133" s="10" t="n">
        <v>45666.79952546296</v>
      </c>
      <c r="F133" s="10" t="n">
        <v>45666.8009837963</v>
      </c>
      <c r="G133" s="3" t="inlineStr">
        <is>
          <t>OBT090125193547-Budapest</t>
        </is>
      </c>
      <c r="H133" s="10" t="n">
        <v>45666.8165162037</v>
      </c>
      <c r="I133" s="10" t="n">
        <v>45666.84237268518</v>
      </c>
      <c r="J133" s="10" t="n">
        <v>45666.8431712963</v>
      </c>
      <c r="K133" s="11">
        <f>IF(AND(ISNUMBER(D133),ISNUMBER(E133)),(E133-D133),"")</f>
        <v/>
      </c>
      <c r="L133" s="11">
        <f>IF(AND(ISNUMBER(F133),ISNUMBER(I133)),(I133-F133),"")</f>
        <v/>
      </c>
    </row>
    <row r="134">
      <c r="A134" s="3" t="inlineStr">
        <is>
          <t>1204201</t>
        </is>
      </c>
      <c r="B134" s="3" t="inlineStr">
        <is>
          <t>12042</t>
        </is>
      </c>
      <c r="C134" s="10" t="n">
        <v>45666.79513888889</v>
      </c>
      <c r="D134" s="10" t="n">
        <v>45666.7969212963</v>
      </c>
      <c r="E134" s="10" t="n">
        <v>45666.80469907408</v>
      </c>
      <c r="F134" s="10" t="n">
        <v>45666.80613425926</v>
      </c>
      <c r="G134" s="3" t="inlineStr">
        <is>
          <t>OBT090125194448-Vienna</t>
        </is>
      </c>
      <c r="H134" s="10" t="n">
        <v>45666.82277777778</v>
      </c>
      <c r="I134" s="10" t="n">
        <v>45666.85420138889</v>
      </c>
      <c r="J134" s="10" t="n">
        <v>45666.85503472222</v>
      </c>
      <c r="K134" s="11">
        <f>IF(AND(ISNUMBER(D134),ISNUMBER(E134)),(E134-D134),"")</f>
        <v/>
      </c>
      <c r="L134" s="11">
        <f>IF(AND(ISNUMBER(F134),ISNUMBER(I134)),(I134-F134),"")</f>
        <v/>
      </c>
    </row>
    <row r="135">
      <c r="A135" s="3" t="inlineStr">
        <is>
          <t>1204202</t>
        </is>
      </c>
      <c r="B135" s="3" t="inlineStr">
        <is>
          <t>12042</t>
        </is>
      </c>
      <c r="C135" s="10" t="n">
        <v>45666.79513888889</v>
      </c>
      <c r="D135" s="10" t="n">
        <v>45666.7969212963</v>
      </c>
      <c r="E135" s="10" t="n">
        <v>45666.80469907408</v>
      </c>
      <c r="F135" s="10" t="n">
        <v>45666.80613425926</v>
      </c>
      <c r="G135" s="3" t="inlineStr">
        <is>
          <t>OBT090125194448-Vienna</t>
        </is>
      </c>
      <c r="H135" s="10" t="n">
        <v>45666.82277777778</v>
      </c>
      <c r="I135" s="10" t="n">
        <v>45666.85420138889</v>
      </c>
      <c r="J135" s="10" t="n">
        <v>45666.85503472222</v>
      </c>
      <c r="K135" s="11">
        <f>IF(AND(ISNUMBER(D135),ISNUMBER(E135)),(E135-D135),"")</f>
        <v/>
      </c>
      <c r="L135" s="11">
        <f>IF(AND(ISNUMBER(F135),ISNUMBER(I135)),(I135-F135),"")</f>
        <v/>
      </c>
    </row>
    <row r="136">
      <c r="A136" s="3" t="inlineStr">
        <is>
          <t>1204203</t>
        </is>
      </c>
      <c r="B136" s="3" t="inlineStr">
        <is>
          <t>12042</t>
        </is>
      </c>
      <c r="C136" s="10" t="n">
        <v>45666.79513888889</v>
      </c>
      <c r="D136" s="10" t="n">
        <v>45666.7969212963</v>
      </c>
      <c r="E136" s="10" t="n">
        <v>45666.80613425926</v>
      </c>
      <c r="F136" s="10" t="n">
        <v>45666.80832175926</v>
      </c>
      <c r="G136" s="3" t="inlineStr">
        <is>
          <t>OBT100125133507-Ljubljana</t>
        </is>
      </c>
      <c r="H136" s="10" t="n">
        <v>45667.56605324074</v>
      </c>
      <c r="I136" s="10" t="n">
        <v>45667.5983912037</v>
      </c>
      <c r="J136" s="10" t="n">
        <v>45667.59930555556</v>
      </c>
      <c r="K136" s="11">
        <f>IF(AND(ISNUMBER(D136),ISNUMBER(E136)),(E136-D136),"")</f>
        <v/>
      </c>
      <c r="L136" s="11">
        <f>IF(AND(ISNUMBER(F136),ISNUMBER(I136)),(I136-F136),"")</f>
        <v/>
      </c>
    </row>
    <row r="137">
      <c r="A137" s="3" t="inlineStr">
        <is>
          <t>1204204</t>
        </is>
      </c>
      <c r="B137" s="3" t="inlineStr">
        <is>
          <t>12042</t>
        </is>
      </c>
      <c r="C137" s="10" t="n">
        <v>45666.79513888889</v>
      </c>
      <c r="D137" s="10" t="n">
        <v>45666.7969212963</v>
      </c>
      <c r="E137" s="10" t="n">
        <v>45666.80613425926</v>
      </c>
      <c r="F137" s="10" t="n">
        <v>45666.80832175926</v>
      </c>
      <c r="G137" s="3" t="inlineStr">
        <is>
          <t>OBT100125133507-Ljubljana</t>
        </is>
      </c>
      <c r="H137" s="10" t="n">
        <v>45667.56605324074</v>
      </c>
      <c r="I137" s="10" t="n">
        <v>45667.5983912037</v>
      </c>
      <c r="J137" s="10" t="n">
        <v>45667.59930555556</v>
      </c>
      <c r="K137" s="11">
        <f>IF(AND(ISNUMBER(D137),ISNUMBER(E137)),(E137-D137),"")</f>
        <v/>
      </c>
      <c r="L137" s="11">
        <f>IF(AND(ISNUMBER(F137),ISNUMBER(I137)),(I137-F137),"")</f>
        <v/>
      </c>
    </row>
    <row r="138">
      <c r="A138" s="3" t="inlineStr">
        <is>
          <t>1204205</t>
        </is>
      </c>
      <c r="B138" s="3" t="inlineStr">
        <is>
          <t>12042</t>
        </is>
      </c>
      <c r="C138" s="10" t="n">
        <v>45666.79513888889</v>
      </c>
      <c r="D138" s="10" t="n">
        <v>45666.7969212963</v>
      </c>
      <c r="E138" s="10" t="n">
        <v>45666.80832175926</v>
      </c>
      <c r="F138" s="10" t="n">
        <v>45666.80971064815</v>
      </c>
      <c r="G138" s="3" t="inlineStr">
        <is>
          <t>OBT090125194448-Vienna</t>
        </is>
      </c>
      <c r="H138" s="10" t="n">
        <v>45666.82277777778</v>
      </c>
      <c r="I138" s="10" t="n">
        <v>45666.85420138889</v>
      </c>
      <c r="J138" s="10" t="n">
        <v>45666.85503472222</v>
      </c>
      <c r="K138" s="11">
        <f>IF(AND(ISNUMBER(D138),ISNUMBER(E138)),(E138-D138),"")</f>
        <v/>
      </c>
      <c r="L138" s="11">
        <f>IF(AND(ISNUMBER(F138),ISNUMBER(I138)),(I138-F138),"")</f>
        <v/>
      </c>
    </row>
    <row r="139">
      <c r="A139" s="3" t="inlineStr">
        <is>
          <t>1204301</t>
        </is>
      </c>
      <c r="B139" s="3" t="inlineStr">
        <is>
          <t>12043</t>
        </is>
      </c>
      <c r="C139" s="10" t="n">
        <v>45666.9375</v>
      </c>
      <c r="D139" s="10" t="n">
        <v>45666.93945601852</v>
      </c>
      <c r="E139" s="10" t="n">
        <v>45666.9453125</v>
      </c>
      <c r="F139" s="10" t="n">
        <v>45666.94737268519</v>
      </c>
      <c r="G139" s="3" t="inlineStr">
        <is>
          <t>OBT090125232040-Salzburg</t>
        </is>
      </c>
      <c r="H139" s="10" t="n">
        <v>45666.97268518519</v>
      </c>
      <c r="I139" s="10" t="n">
        <v>45667.00688657408</v>
      </c>
      <c r="J139" s="10" t="n">
        <v>45667.00792824074</v>
      </c>
      <c r="K139" s="11">
        <f>IF(AND(ISNUMBER(D139),ISNUMBER(E139)),(E139-D139),"")</f>
        <v/>
      </c>
      <c r="L139" s="11">
        <f>IF(AND(ISNUMBER(F139),ISNUMBER(I139)),(I139-F139),"")</f>
        <v/>
      </c>
    </row>
    <row r="140">
      <c r="A140" s="3" t="inlineStr">
        <is>
          <t>1204302</t>
        </is>
      </c>
      <c r="B140" s="3" t="inlineStr">
        <is>
          <t>12043</t>
        </is>
      </c>
      <c r="C140" s="10" t="n">
        <v>45666.9375</v>
      </c>
      <c r="D140" s="10" t="n">
        <v>45666.93945601852</v>
      </c>
      <c r="E140" s="10" t="n">
        <v>45666.9453125</v>
      </c>
      <c r="F140" s="10" t="n">
        <v>45666.94737268519</v>
      </c>
      <c r="G140" s="3" t="inlineStr">
        <is>
          <t>OBT090125232040-Salzburg</t>
        </is>
      </c>
      <c r="H140" s="10" t="n">
        <v>45666.97268518519</v>
      </c>
      <c r="I140" s="10" t="n">
        <v>45667.00688657408</v>
      </c>
      <c r="J140" s="10" t="n">
        <v>45667.00792824074</v>
      </c>
      <c r="K140" s="11">
        <f>IF(AND(ISNUMBER(D140),ISNUMBER(E140)),(E140-D140),"")</f>
        <v/>
      </c>
      <c r="L140" s="11">
        <f>IF(AND(ISNUMBER(F140),ISNUMBER(I140)),(I140-F140),"")</f>
        <v/>
      </c>
    </row>
    <row r="141">
      <c r="A141" s="3" t="inlineStr">
        <is>
          <t>1204303</t>
        </is>
      </c>
      <c r="B141" s="3" t="inlineStr">
        <is>
          <t>12043</t>
        </is>
      </c>
      <c r="C141" s="10" t="n">
        <v>45666.9375</v>
      </c>
      <c r="D141" s="10" t="n">
        <v>45666.93945601852</v>
      </c>
      <c r="E141" s="10" t="n">
        <v>45666.9453125</v>
      </c>
      <c r="F141" s="10" t="n">
        <v>45666.94737268519</v>
      </c>
      <c r="G141" s="3" t="inlineStr">
        <is>
          <t>OBT090125232040-Salzburg</t>
        </is>
      </c>
      <c r="H141" s="10" t="n">
        <v>45666.97268518519</v>
      </c>
      <c r="I141" s="10" t="n">
        <v>45667.00688657408</v>
      </c>
      <c r="J141" s="10" t="n">
        <v>45667.00792824074</v>
      </c>
      <c r="K141" s="11">
        <f>IF(AND(ISNUMBER(D141),ISNUMBER(E141)),(E141-D141),"")</f>
        <v/>
      </c>
      <c r="L141" s="11">
        <f>IF(AND(ISNUMBER(F141),ISNUMBER(I141)),(I141-F141),"")</f>
        <v/>
      </c>
    </row>
    <row r="142">
      <c r="A142" s="3" t="inlineStr">
        <is>
          <t>1204304</t>
        </is>
      </c>
      <c r="B142" s="3" t="inlineStr">
        <is>
          <t>12043</t>
        </is>
      </c>
      <c r="C142" s="10" t="n">
        <v>45666.9375</v>
      </c>
      <c r="D142" s="10" t="n">
        <v>45666.93945601852</v>
      </c>
      <c r="E142" s="10" t="n">
        <v>45666.9453125</v>
      </c>
      <c r="F142" s="10" t="n">
        <v>45666.94737268519</v>
      </c>
      <c r="G142" s="3" t="inlineStr">
        <is>
          <t>OBT090125232040-Salzburg</t>
        </is>
      </c>
      <c r="H142" s="10" t="n">
        <v>45666.97268518519</v>
      </c>
      <c r="I142" s="10" t="n">
        <v>45667.00688657408</v>
      </c>
      <c r="J142" s="10" t="n">
        <v>45667.00792824074</v>
      </c>
      <c r="K142" s="11">
        <f>IF(AND(ISNUMBER(D142),ISNUMBER(E142)),(E142-D142),"")</f>
        <v/>
      </c>
      <c r="L142" s="11">
        <f>IF(AND(ISNUMBER(F142),ISNUMBER(I142)),(I142-F142),"")</f>
        <v/>
      </c>
    </row>
    <row r="143">
      <c r="A143" s="3" t="inlineStr">
        <is>
          <t>1204401</t>
        </is>
      </c>
      <c r="B143" s="3" t="inlineStr">
        <is>
          <t>12044</t>
        </is>
      </c>
      <c r="C143" s="10" t="n">
        <v>45667.29166666666</v>
      </c>
      <c r="D143" s="10" t="n">
        <v>45667.29362268518</v>
      </c>
      <c r="E143" s="10" t="n">
        <v>45667.30126157407</v>
      </c>
      <c r="F143" s="10" t="n">
        <v>45667.30246527777</v>
      </c>
      <c r="G143" s="3" t="inlineStr">
        <is>
          <t>OBT100125093309-Graz</t>
        </is>
      </c>
      <c r="H143" s="10" t="n">
        <v>45667.39802083333</v>
      </c>
      <c r="I143" s="10" t="n">
        <v>45667.42386574074</v>
      </c>
      <c r="J143" s="10" t="n">
        <v>45667.42466435185</v>
      </c>
      <c r="K143" s="11">
        <f>IF(AND(ISNUMBER(D143),ISNUMBER(E143)),(E143-D143),"")</f>
        <v/>
      </c>
      <c r="L143" s="11">
        <f>IF(AND(ISNUMBER(F143),ISNUMBER(I143)),(I143-F143),"")</f>
        <v/>
      </c>
    </row>
    <row r="144">
      <c r="A144" s="3" t="inlineStr">
        <is>
          <t>1204402</t>
        </is>
      </c>
      <c r="B144" s="3" t="inlineStr">
        <is>
          <t>12044</t>
        </is>
      </c>
      <c r="C144" s="10" t="n">
        <v>45667.29166666666</v>
      </c>
      <c r="D144" s="10" t="n">
        <v>45667.29362268518</v>
      </c>
      <c r="E144" s="10" t="n">
        <v>45667.30246527777</v>
      </c>
      <c r="F144" s="10" t="n">
        <v>45667.30380787037</v>
      </c>
      <c r="G144" s="3" t="inlineStr">
        <is>
          <t>OBT100125152926-Budapest</t>
        </is>
      </c>
      <c r="H144" s="10" t="n">
        <v>45667.64543981481</v>
      </c>
      <c r="I144" s="10" t="n">
        <v>45667.66853009259</v>
      </c>
      <c r="J144" s="10" t="n">
        <v>45667.66924768518</v>
      </c>
      <c r="K144" s="11">
        <f>IF(AND(ISNUMBER(D144),ISNUMBER(E144)),(E144-D144),"")</f>
        <v/>
      </c>
      <c r="L144" s="11">
        <f>IF(AND(ISNUMBER(F144),ISNUMBER(I144)),(I144-F144),"")</f>
        <v/>
      </c>
    </row>
    <row r="145">
      <c r="A145" s="3" t="inlineStr">
        <is>
          <t>1204403</t>
        </is>
      </c>
      <c r="B145" s="3" t="inlineStr">
        <is>
          <t>12044</t>
        </is>
      </c>
      <c r="C145" s="10" t="n">
        <v>45667.29166666666</v>
      </c>
      <c r="D145" s="10" t="n">
        <v>45667.29362268518</v>
      </c>
      <c r="E145" s="10" t="n">
        <v>45667.30380787037</v>
      </c>
      <c r="F145" s="10" t="n">
        <v>45667.3055787037</v>
      </c>
      <c r="G145" s="3" t="inlineStr">
        <is>
          <t>OBT100125165112-Innsbruck</t>
        </is>
      </c>
      <c r="H145" s="10" t="n">
        <v>45667.70222222222</v>
      </c>
      <c r="I145" s="10" t="n">
        <v>45667.73083333333</v>
      </c>
      <c r="J145" s="10" t="n">
        <v>45667.73171296297</v>
      </c>
      <c r="K145" s="11">
        <f>IF(AND(ISNUMBER(D145),ISNUMBER(E145)),(E145-D145),"")</f>
        <v/>
      </c>
      <c r="L145" s="11">
        <f>IF(AND(ISNUMBER(F145),ISNUMBER(I145)),(I145-F145),"")</f>
        <v/>
      </c>
    </row>
    <row r="146">
      <c r="A146" s="3" t="inlineStr">
        <is>
          <t>1204404</t>
        </is>
      </c>
      <c r="B146" s="3" t="inlineStr">
        <is>
          <t>12044</t>
        </is>
      </c>
      <c r="C146" s="10" t="n">
        <v>45667.29166666666</v>
      </c>
      <c r="D146" s="10" t="n">
        <v>45667.29362268518</v>
      </c>
      <c r="E146" s="10" t="n">
        <v>45667.3055787037</v>
      </c>
      <c r="F146" s="10" t="n">
        <v>45667.30680555556</v>
      </c>
      <c r="G146" s="3" t="inlineStr">
        <is>
          <t>OBT100125093309-Graz</t>
        </is>
      </c>
      <c r="H146" s="10" t="n">
        <v>45667.39802083333</v>
      </c>
      <c r="I146" s="10" t="n">
        <v>45667.42386574074</v>
      </c>
      <c r="J146" s="10" t="n">
        <v>45667.42466435185</v>
      </c>
      <c r="K146" s="11">
        <f>IF(AND(ISNUMBER(D146),ISNUMBER(E146)),(E146-D146),"")</f>
        <v/>
      </c>
      <c r="L146" s="11">
        <f>IF(AND(ISNUMBER(F146),ISNUMBER(I146)),(I146-F146),"")</f>
        <v/>
      </c>
    </row>
    <row r="147">
      <c r="A147" s="3" t="inlineStr">
        <is>
          <t>1204501</t>
        </is>
      </c>
      <c r="B147" s="3" t="inlineStr">
        <is>
          <t>12045</t>
        </is>
      </c>
      <c r="C147" s="10" t="n">
        <v>45667.31597222222</v>
      </c>
      <c r="D147" s="10" t="n">
        <v>45667.31789351852</v>
      </c>
      <c r="E147" s="10" t="n">
        <v>45667.32471064815</v>
      </c>
      <c r="F147" s="10" t="n">
        <v>45667.32655092593</v>
      </c>
      <c r="G147" s="3" t="inlineStr">
        <is>
          <t>OBT100125135618-Vienna</t>
        </is>
      </c>
      <c r="H147" s="10" t="n">
        <v>45667.58076388889</v>
      </c>
      <c r="I147" s="10" t="n">
        <v>45667.630625</v>
      </c>
      <c r="J147" s="10" t="n">
        <v>45667.63162037037</v>
      </c>
      <c r="K147" s="11">
        <f>IF(AND(ISNUMBER(D147),ISNUMBER(E147)),(E147-D147),"")</f>
        <v/>
      </c>
      <c r="L147" s="11">
        <f>IF(AND(ISNUMBER(F147),ISNUMBER(I147)),(I147-F147),"")</f>
        <v/>
      </c>
    </row>
    <row r="148">
      <c r="A148" s="3" t="inlineStr">
        <is>
          <t>1204502</t>
        </is>
      </c>
      <c r="B148" s="3" t="inlineStr">
        <is>
          <t>12045</t>
        </is>
      </c>
      <c r="C148" s="10" t="n">
        <v>45667.31597222222</v>
      </c>
      <c r="D148" s="10" t="n">
        <v>45667.31789351852</v>
      </c>
      <c r="E148" s="10" t="n">
        <v>45667.32655092593</v>
      </c>
      <c r="F148" s="10" t="n">
        <v>45667.32834490741</v>
      </c>
      <c r="G148" s="3" t="inlineStr">
        <is>
          <t>OBT100125133517-Salzburg</t>
        </is>
      </c>
      <c r="H148" s="10" t="n">
        <v>45667.56616898148</v>
      </c>
      <c r="I148" s="10" t="n">
        <v>45667.6046412037</v>
      </c>
      <c r="J148" s="10" t="n">
        <v>45667.60547453703</v>
      </c>
      <c r="K148" s="11">
        <f>IF(AND(ISNUMBER(D148),ISNUMBER(E148)),(E148-D148),"")</f>
        <v/>
      </c>
      <c r="L148" s="11">
        <f>IF(AND(ISNUMBER(F148),ISNUMBER(I148)),(I148-F148),"")</f>
        <v/>
      </c>
    </row>
    <row r="149">
      <c r="A149" s="3" t="inlineStr">
        <is>
          <t>1204503</t>
        </is>
      </c>
      <c r="B149" s="3" t="inlineStr">
        <is>
          <t>12045</t>
        </is>
      </c>
      <c r="C149" s="10" t="n">
        <v>45667.31597222222</v>
      </c>
      <c r="D149" s="10" t="n">
        <v>45667.31789351852</v>
      </c>
      <c r="E149" s="10" t="n">
        <v>45667.32834490741</v>
      </c>
      <c r="F149" s="10" t="n">
        <v>45667.33033564815</v>
      </c>
      <c r="G149" s="3" t="inlineStr">
        <is>
          <t>OBT100125080623-Klagenfurt</t>
        </is>
      </c>
      <c r="H149" s="10" t="n">
        <v>45667.3377662037</v>
      </c>
      <c r="I149" s="10" t="n">
        <v>45667.36085648148</v>
      </c>
      <c r="J149" s="10" t="n">
        <v>45667.36155092593</v>
      </c>
      <c r="K149" s="11">
        <f>IF(AND(ISNUMBER(D149),ISNUMBER(E149)),(E149-D149),"")</f>
        <v/>
      </c>
      <c r="L149" s="11">
        <f>IF(AND(ISNUMBER(F149),ISNUMBER(I149)),(I149-F149),"")</f>
        <v/>
      </c>
    </row>
    <row r="150">
      <c r="A150" s="3" t="inlineStr">
        <is>
          <t>1204601</t>
        </is>
      </c>
      <c r="B150" s="3" t="inlineStr">
        <is>
          <t>12046</t>
        </is>
      </c>
      <c r="C150" s="10" t="n">
        <v>45667.35</v>
      </c>
      <c r="D150" s="10" t="n">
        <v>45667.35181712963</v>
      </c>
      <c r="E150" s="10" t="n">
        <v>45667.35704861111</v>
      </c>
      <c r="F150" s="10" t="n">
        <v>45667.35835648148</v>
      </c>
      <c r="G150" s="3" t="inlineStr">
        <is>
          <t>OBT100125152926-Budapest</t>
        </is>
      </c>
      <c r="H150" s="10" t="n">
        <v>45667.64543981481</v>
      </c>
      <c r="I150" s="10" t="n">
        <v>45667.66853009259</v>
      </c>
      <c r="J150" s="10" t="n">
        <v>45667.66924768518</v>
      </c>
      <c r="K150" s="11">
        <f>IF(AND(ISNUMBER(D150),ISNUMBER(E150)),(E150-D150),"")</f>
        <v/>
      </c>
      <c r="L150" s="11">
        <f>IF(AND(ISNUMBER(F150),ISNUMBER(I150)),(I150-F150),"")</f>
        <v/>
      </c>
    </row>
    <row r="151">
      <c r="A151" s="3" t="inlineStr">
        <is>
          <t>1204602</t>
        </is>
      </c>
      <c r="B151" s="3" t="inlineStr">
        <is>
          <t>12046</t>
        </is>
      </c>
      <c r="C151" s="10" t="n">
        <v>45667.35</v>
      </c>
      <c r="D151" s="10" t="n">
        <v>45667.35181712963</v>
      </c>
      <c r="E151" s="10" t="n">
        <v>45667.35835648148</v>
      </c>
      <c r="F151" s="10" t="n">
        <v>45667.36021990741</v>
      </c>
      <c r="G151" s="3" t="inlineStr">
        <is>
          <t>OBT100125133517-Salzburg</t>
        </is>
      </c>
      <c r="H151" s="10" t="n">
        <v>45667.56616898148</v>
      </c>
      <c r="I151" s="10" t="n">
        <v>45667.6046412037</v>
      </c>
      <c r="J151" s="10" t="n">
        <v>45667.60547453703</v>
      </c>
      <c r="K151" s="11">
        <f>IF(AND(ISNUMBER(D151),ISNUMBER(E151)),(E151-D151),"")</f>
        <v/>
      </c>
      <c r="L151" s="11">
        <f>IF(AND(ISNUMBER(F151),ISNUMBER(I151)),(I151-F151),"")</f>
        <v/>
      </c>
    </row>
    <row r="152">
      <c r="A152" s="3" t="inlineStr">
        <is>
          <t>1204701</t>
        </is>
      </c>
      <c r="B152" s="3" t="inlineStr">
        <is>
          <t>12047</t>
        </is>
      </c>
      <c r="C152" s="10" t="n">
        <v>45667.37708333333</v>
      </c>
      <c r="D152" s="10" t="n">
        <v>45667.37908564815</v>
      </c>
      <c r="E152" s="10" t="n">
        <v>45667.38609953703</v>
      </c>
      <c r="F152" s="10" t="n">
        <v>45667.38737268518</v>
      </c>
      <c r="G152" s="3" t="inlineStr">
        <is>
          <t>OBT100125093309-Graz</t>
        </is>
      </c>
      <c r="H152" s="10" t="n">
        <v>45667.39802083333</v>
      </c>
      <c r="I152" s="10" t="n">
        <v>45667.42386574074</v>
      </c>
      <c r="J152" s="10" t="n">
        <v>45667.42466435185</v>
      </c>
      <c r="K152" s="11">
        <f>IF(AND(ISNUMBER(D152),ISNUMBER(E152)),(E152-D152),"")</f>
        <v/>
      </c>
      <c r="L152" s="11">
        <f>IF(AND(ISNUMBER(F152),ISNUMBER(I152)),(I152-F152),"")</f>
        <v/>
      </c>
    </row>
    <row r="153">
      <c r="A153" s="3" t="inlineStr">
        <is>
          <t>1204702</t>
        </is>
      </c>
      <c r="B153" s="3" t="inlineStr">
        <is>
          <t>12047</t>
        </is>
      </c>
      <c r="C153" s="10" t="n">
        <v>45667.37708333333</v>
      </c>
      <c r="D153" s="10" t="n">
        <v>45667.37908564815</v>
      </c>
      <c r="E153" s="10" t="n">
        <v>45667.38737268518</v>
      </c>
      <c r="F153" s="10" t="n">
        <v>45667.38939814815</v>
      </c>
      <c r="G153" s="3" t="inlineStr">
        <is>
          <t>OBT110125130321-Klagenfurt</t>
        </is>
      </c>
      <c r="H153" s="10" t="n">
        <v>45668.54399305556</v>
      </c>
      <c r="I153" s="10" t="n">
        <v>45668.59182870371</v>
      </c>
      <c r="J153" s="10" t="n">
        <v>45668.59255787037</v>
      </c>
      <c r="K153" s="11">
        <f>IF(AND(ISNUMBER(D153),ISNUMBER(E153)),(E153-D153),"")</f>
        <v/>
      </c>
      <c r="L153" s="11">
        <f>IF(AND(ISNUMBER(F153),ISNUMBER(I153)),(I153-F153),"")</f>
        <v/>
      </c>
    </row>
    <row r="154">
      <c r="A154" s="3" t="inlineStr">
        <is>
          <t>1204703</t>
        </is>
      </c>
      <c r="B154" s="3" t="inlineStr">
        <is>
          <t>12047</t>
        </is>
      </c>
      <c r="C154" s="10" t="n">
        <v>45667.37708333333</v>
      </c>
      <c r="D154" s="10" t="n">
        <v>45667.37908564815</v>
      </c>
      <c r="E154" s="10" t="n">
        <v>45667.38939814815</v>
      </c>
      <c r="F154" s="10" t="n">
        <v>45667.39142361111</v>
      </c>
      <c r="G154" s="3" t="inlineStr">
        <is>
          <t>OBT100125134146-Graz</t>
        </is>
      </c>
      <c r="H154" s="10" t="n">
        <v>45667.57067129629</v>
      </c>
      <c r="I154" s="10" t="n">
        <v>45667.6137962963</v>
      </c>
      <c r="J154" s="10" t="n">
        <v>45667.61464120371</v>
      </c>
      <c r="K154" s="11">
        <f>IF(AND(ISNUMBER(D154),ISNUMBER(E154)),(E154-D154),"")</f>
        <v/>
      </c>
      <c r="L154" s="11">
        <f>IF(AND(ISNUMBER(F154),ISNUMBER(I154)),(I154-F154),"")</f>
        <v/>
      </c>
    </row>
    <row r="155">
      <c r="A155" s="3" t="inlineStr">
        <is>
          <t>1204801</t>
        </is>
      </c>
      <c r="B155" s="3" t="inlineStr">
        <is>
          <t>12048</t>
        </is>
      </c>
      <c r="C155" s="10" t="n">
        <v>45667.54166666666</v>
      </c>
      <c r="D155" s="10" t="n">
        <v>45667.54337962963</v>
      </c>
      <c r="E155" s="10" t="n">
        <v>45667.550625</v>
      </c>
      <c r="F155" s="10" t="n">
        <v>45667.55201388889</v>
      </c>
      <c r="G155" s="3" t="inlineStr">
        <is>
          <t>OBT100125133454-Linz</t>
        </is>
      </c>
      <c r="H155" s="10" t="n">
        <v>45667.56590277778</v>
      </c>
      <c r="I155" s="10" t="n">
        <v>45667.58983796297</v>
      </c>
      <c r="J155" s="10" t="n">
        <v>45667.59060185185</v>
      </c>
      <c r="K155" s="11">
        <f>IF(AND(ISNUMBER(D155),ISNUMBER(E155)),(E155-D155),"")</f>
        <v/>
      </c>
      <c r="L155" s="11">
        <f>IF(AND(ISNUMBER(F155),ISNUMBER(I155)),(I155-F155),"")</f>
        <v/>
      </c>
    </row>
    <row r="156">
      <c r="A156" s="3" t="inlineStr">
        <is>
          <t>1204802</t>
        </is>
      </c>
      <c r="B156" s="3" t="inlineStr">
        <is>
          <t>12048</t>
        </is>
      </c>
      <c r="C156" s="10" t="n">
        <v>45667.54166666666</v>
      </c>
      <c r="D156" s="10" t="n">
        <v>45667.54337962963</v>
      </c>
      <c r="E156" s="10" t="n">
        <v>45667.550625</v>
      </c>
      <c r="F156" s="10" t="n">
        <v>45667.55201388889</v>
      </c>
      <c r="G156" s="3" t="inlineStr">
        <is>
          <t>OBT100125133454-Linz</t>
        </is>
      </c>
      <c r="H156" s="10" t="n">
        <v>45667.56590277778</v>
      </c>
      <c r="I156" s="10" t="n">
        <v>45667.58983796297</v>
      </c>
      <c r="J156" s="10" t="n">
        <v>45667.59060185185</v>
      </c>
      <c r="K156" s="11">
        <f>IF(AND(ISNUMBER(D156),ISNUMBER(E156)),(E156-D156),"")</f>
        <v/>
      </c>
      <c r="L156" s="11">
        <f>IF(AND(ISNUMBER(F156),ISNUMBER(I156)),(I156-F156),"")</f>
        <v/>
      </c>
    </row>
    <row r="157">
      <c r="A157" s="3" t="inlineStr">
        <is>
          <t>1204803</t>
        </is>
      </c>
      <c r="B157" s="3" t="inlineStr">
        <is>
          <t>12048</t>
        </is>
      </c>
      <c r="C157" s="10" t="n">
        <v>45667.54166666666</v>
      </c>
      <c r="D157" s="10" t="n">
        <v>45667.54337962963</v>
      </c>
      <c r="E157" s="10" t="n">
        <v>45667.550625</v>
      </c>
      <c r="F157" s="10" t="n">
        <v>45667.55201388889</v>
      </c>
      <c r="G157" s="3" t="inlineStr">
        <is>
          <t>OBT100125133454-Linz</t>
        </is>
      </c>
      <c r="H157" s="10" t="n">
        <v>45667.56590277778</v>
      </c>
      <c r="I157" s="10" t="n">
        <v>45667.58983796297</v>
      </c>
      <c r="J157" s="10" t="n">
        <v>45667.59060185185</v>
      </c>
      <c r="K157" s="11">
        <f>IF(AND(ISNUMBER(D157),ISNUMBER(E157)),(E157-D157),"")</f>
        <v/>
      </c>
      <c r="L157" s="11">
        <f>IF(AND(ISNUMBER(F157),ISNUMBER(I157)),(I157-F157),"")</f>
        <v/>
      </c>
    </row>
    <row r="158">
      <c r="A158" s="3" t="inlineStr">
        <is>
          <t>1204804</t>
        </is>
      </c>
      <c r="B158" s="3" t="inlineStr">
        <is>
          <t>12048</t>
        </is>
      </c>
      <c r="C158" s="10" t="n">
        <v>45667.54166666666</v>
      </c>
      <c r="D158" s="10" t="n">
        <v>45667.54337962963</v>
      </c>
      <c r="E158" s="10" t="n">
        <v>45667.55201388889</v>
      </c>
      <c r="F158" s="10" t="n">
        <v>45667.55416666667</v>
      </c>
      <c r="G158" s="3" t="inlineStr">
        <is>
          <t>OBT100125133507-Ljubljana</t>
        </is>
      </c>
      <c r="H158" s="10" t="n">
        <v>45667.56605324074</v>
      </c>
      <c r="I158" s="10" t="n">
        <v>45667.5983912037</v>
      </c>
      <c r="J158" s="10" t="n">
        <v>45667.59930555556</v>
      </c>
      <c r="K158" s="11">
        <f>IF(AND(ISNUMBER(D158),ISNUMBER(E158)),(E158-D158),"")</f>
        <v/>
      </c>
      <c r="L158" s="11">
        <f>IF(AND(ISNUMBER(F158),ISNUMBER(I158)),(I158-F158),"")</f>
        <v/>
      </c>
    </row>
    <row r="159">
      <c r="A159" s="3" t="inlineStr">
        <is>
          <t>1204805</t>
        </is>
      </c>
      <c r="B159" s="3" t="inlineStr">
        <is>
          <t>12048</t>
        </is>
      </c>
      <c r="C159" s="10" t="n">
        <v>45667.54166666666</v>
      </c>
      <c r="D159" s="10" t="n">
        <v>45667.54337962963</v>
      </c>
      <c r="E159" s="10" t="n">
        <v>45667.55416666667</v>
      </c>
      <c r="F159" s="10" t="n">
        <v>45667.55578703704</v>
      </c>
      <c r="G159" s="3" t="inlineStr">
        <is>
          <t>OBT100125165346-Linz</t>
        </is>
      </c>
      <c r="H159" s="10" t="n">
        <v>45667.70400462963</v>
      </c>
      <c r="I159" s="10" t="n">
        <v>45667.73629629629</v>
      </c>
      <c r="J159" s="10" t="n">
        <v>45667.73730324074</v>
      </c>
      <c r="K159" s="11">
        <f>IF(AND(ISNUMBER(D159),ISNUMBER(E159)),(E159-D159),"")</f>
        <v/>
      </c>
      <c r="L159" s="11">
        <f>IF(AND(ISNUMBER(F159),ISNUMBER(I159)),(I159-F159),"")</f>
        <v/>
      </c>
    </row>
    <row r="160">
      <c r="A160" s="3" t="inlineStr">
        <is>
          <t>1204901</t>
        </is>
      </c>
      <c r="B160" s="3" t="inlineStr">
        <is>
          <t>12049</t>
        </is>
      </c>
      <c r="C160" s="10" t="n">
        <v>45667.54166666666</v>
      </c>
      <c r="D160" s="10" t="n">
        <v>45667.54377314815</v>
      </c>
      <c r="E160" s="10" t="n">
        <v>45667.55665509259</v>
      </c>
      <c r="F160" s="10" t="n">
        <v>45667.55864583333</v>
      </c>
      <c r="G160" s="3" t="inlineStr">
        <is>
          <t>OBT100125134146-Graz</t>
        </is>
      </c>
      <c r="H160" s="10" t="n">
        <v>45667.57067129629</v>
      </c>
      <c r="I160" s="10" t="n">
        <v>45667.6137962963</v>
      </c>
      <c r="J160" s="10" t="n">
        <v>45667.61464120371</v>
      </c>
      <c r="K160" s="11">
        <f>IF(AND(ISNUMBER(D160),ISNUMBER(E160)),(E160-D160),"")</f>
        <v/>
      </c>
      <c r="L160" s="11">
        <f>IF(AND(ISNUMBER(F160),ISNUMBER(I160)),(I160-F160),"")</f>
        <v/>
      </c>
    </row>
    <row r="161">
      <c r="A161" s="3" t="inlineStr">
        <is>
          <t>1204902</t>
        </is>
      </c>
      <c r="B161" s="3" t="inlineStr">
        <is>
          <t>12049</t>
        </is>
      </c>
      <c r="C161" s="10" t="n">
        <v>45667.54166666666</v>
      </c>
      <c r="D161" s="10" t="n">
        <v>45667.54377314815</v>
      </c>
      <c r="E161" s="10" t="n">
        <v>45667.55864583333</v>
      </c>
      <c r="F161" s="10" t="n">
        <v>45667.56043981481</v>
      </c>
      <c r="G161" s="3" t="inlineStr">
        <is>
          <t>OBT100125133517-Salzburg</t>
        </is>
      </c>
      <c r="H161" s="10" t="n">
        <v>45667.56616898148</v>
      </c>
      <c r="I161" s="10" t="n">
        <v>45667.6046412037</v>
      </c>
      <c r="J161" s="10" t="n">
        <v>45667.60547453703</v>
      </c>
      <c r="K161" s="11">
        <f>IF(AND(ISNUMBER(D161),ISNUMBER(E161)),(E161-D161),"")</f>
        <v/>
      </c>
      <c r="L161" s="11">
        <f>IF(AND(ISNUMBER(F161),ISNUMBER(I161)),(I161-F161),"")</f>
        <v/>
      </c>
    </row>
    <row r="162">
      <c r="A162" s="3" t="inlineStr">
        <is>
          <t>1204903</t>
        </is>
      </c>
      <c r="B162" s="3" t="inlineStr">
        <is>
          <t>12049</t>
        </is>
      </c>
      <c r="C162" s="10" t="n">
        <v>45667.54166666666</v>
      </c>
      <c r="D162" s="10" t="n">
        <v>45667.54377314815</v>
      </c>
      <c r="E162" s="10" t="n">
        <v>45667.56043981481</v>
      </c>
      <c r="F162" s="10" t="n">
        <v>45667.56246527778</v>
      </c>
      <c r="G162" s="3" t="inlineStr">
        <is>
          <t>OBT100125134146-Graz</t>
        </is>
      </c>
      <c r="H162" s="10" t="n">
        <v>45667.57067129629</v>
      </c>
      <c r="I162" s="10" t="n">
        <v>45667.6137962963</v>
      </c>
      <c r="J162" s="10" t="n">
        <v>45667.61464120371</v>
      </c>
      <c r="K162" s="11">
        <f>IF(AND(ISNUMBER(D162),ISNUMBER(E162)),(E162-D162),"")</f>
        <v/>
      </c>
      <c r="L162" s="11">
        <f>IF(AND(ISNUMBER(F162),ISNUMBER(I162)),(I162-F162),"")</f>
        <v/>
      </c>
    </row>
    <row r="163">
      <c r="A163" s="3" t="inlineStr">
        <is>
          <t>1204904</t>
        </is>
      </c>
      <c r="B163" s="3" t="inlineStr">
        <is>
          <t>12049</t>
        </is>
      </c>
      <c r="C163" s="10" t="n">
        <v>45667.54166666666</v>
      </c>
      <c r="D163" s="10" t="n">
        <v>45667.54377314815</v>
      </c>
      <c r="E163" s="10" t="n">
        <v>45667.56246527778</v>
      </c>
      <c r="F163" s="10" t="n">
        <v>45667.56440972222</v>
      </c>
      <c r="G163" s="3" t="inlineStr">
        <is>
          <t>OBT100125135618-Vienna</t>
        </is>
      </c>
      <c r="H163" s="10" t="n">
        <v>45667.58076388889</v>
      </c>
      <c r="I163" s="10" t="n">
        <v>45667.630625</v>
      </c>
      <c r="J163" s="10" t="n">
        <v>45667.63162037037</v>
      </c>
      <c r="K163" s="11">
        <f>IF(AND(ISNUMBER(D163),ISNUMBER(E163)),(E163-D163),"")</f>
        <v/>
      </c>
      <c r="L163" s="11">
        <f>IF(AND(ISNUMBER(F163),ISNUMBER(I163)),(I163-F163),"")</f>
        <v/>
      </c>
    </row>
    <row r="164">
      <c r="A164" s="3" t="inlineStr">
        <is>
          <t>1204905</t>
        </is>
      </c>
      <c r="B164" s="3" t="inlineStr">
        <is>
          <t>12049</t>
        </is>
      </c>
      <c r="C164" s="10" t="n">
        <v>45667.54166666666</v>
      </c>
      <c r="D164" s="10" t="n">
        <v>45667.54377314815</v>
      </c>
      <c r="E164" s="10" t="n">
        <v>45667.56246527778</v>
      </c>
      <c r="F164" s="10" t="n">
        <v>45667.56440972222</v>
      </c>
      <c r="G164" s="3" t="inlineStr">
        <is>
          <t>OBT100125135618-Vienna</t>
        </is>
      </c>
      <c r="H164" s="10" t="n">
        <v>45667.58076388889</v>
      </c>
      <c r="I164" s="10" t="n">
        <v>45667.630625</v>
      </c>
      <c r="J164" s="10" t="n">
        <v>45667.63162037037</v>
      </c>
      <c r="K164" s="11">
        <f>IF(AND(ISNUMBER(D164),ISNUMBER(E164)),(E164-D164),"")</f>
        <v/>
      </c>
      <c r="L164" s="11">
        <f>IF(AND(ISNUMBER(F164),ISNUMBER(I164)),(I164-F164),"")</f>
        <v/>
      </c>
    </row>
    <row r="165">
      <c r="A165" s="3" t="inlineStr">
        <is>
          <t>1205001</t>
        </is>
      </c>
      <c r="B165" s="3" t="inlineStr">
        <is>
          <t>12050</t>
        </is>
      </c>
      <c r="C165" s="10" t="n">
        <v>45667.625</v>
      </c>
      <c r="D165" s="10" t="n">
        <v>45667.62707175926</v>
      </c>
      <c r="E165" s="10" t="n">
        <v>45667.6346875</v>
      </c>
      <c r="F165" s="10" t="n">
        <v>45667.6358912037</v>
      </c>
      <c r="G165" s="3" t="inlineStr">
        <is>
          <t>OBT110125063829-Ljubljana</t>
        </is>
      </c>
      <c r="H165" s="10" t="n">
        <v>45668.27672453703</v>
      </c>
      <c r="I165" s="10" t="n">
        <v>45668.29701388889</v>
      </c>
      <c r="J165" s="10" t="n">
        <v>45668.29773148148</v>
      </c>
      <c r="K165" s="11">
        <f>IF(AND(ISNUMBER(D165),ISNUMBER(E165)),(E165-D165),"")</f>
        <v/>
      </c>
      <c r="L165" s="11">
        <f>IF(AND(ISNUMBER(F165),ISNUMBER(I165)),(I165-F165),"")</f>
        <v/>
      </c>
    </row>
    <row r="166">
      <c r="A166" s="3" t="inlineStr">
        <is>
          <t>1205002</t>
        </is>
      </c>
      <c r="B166" s="3" t="inlineStr">
        <is>
          <t>12050</t>
        </is>
      </c>
      <c r="C166" s="10" t="n">
        <v>45667.625</v>
      </c>
      <c r="D166" s="10" t="n">
        <v>45667.62707175926</v>
      </c>
      <c r="E166" s="10" t="n">
        <v>45667.6358912037</v>
      </c>
      <c r="F166" s="10" t="n">
        <v>45667.6372337963</v>
      </c>
      <c r="G166" s="3" t="inlineStr">
        <is>
          <t>OBT100125152926-Budapest</t>
        </is>
      </c>
      <c r="H166" s="10" t="n">
        <v>45667.64543981481</v>
      </c>
      <c r="I166" s="10" t="n">
        <v>45667.66853009259</v>
      </c>
      <c r="J166" s="10" t="n">
        <v>45667.66924768518</v>
      </c>
      <c r="K166" s="11">
        <f>IF(AND(ISNUMBER(D166),ISNUMBER(E166)),(E166-D166),"")</f>
        <v/>
      </c>
      <c r="L166" s="11">
        <f>IF(AND(ISNUMBER(F166),ISNUMBER(I166)),(I166-F166),"")</f>
        <v/>
      </c>
    </row>
    <row r="167">
      <c r="A167" s="3" t="inlineStr">
        <is>
          <t>1205003</t>
        </is>
      </c>
      <c r="B167" s="3" t="inlineStr">
        <is>
          <t>12050</t>
        </is>
      </c>
      <c r="C167" s="10" t="n">
        <v>45667.625</v>
      </c>
      <c r="D167" s="10" t="n">
        <v>45667.62707175926</v>
      </c>
      <c r="E167" s="10" t="n">
        <v>45667.6372337963</v>
      </c>
      <c r="F167" s="10" t="n">
        <v>45667.63952546296</v>
      </c>
      <c r="G167" s="3" t="inlineStr">
        <is>
          <t>OBT100125154054-Graz</t>
        </is>
      </c>
      <c r="H167" s="10" t="n">
        <v>45667.65340277777</v>
      </c>
      <c r="I167" s="10" t="n">
        <v>45667.67649305556</v>
      </c>
      <c r="J167" s="10" t="n">
        <v>45667.67728009259</v>
      </c>
      <c r="K167" s="11">
        <f>IF(AND(ISNUMBER(D167),ISNUMBER(E167)),(E167-D167),"")</f>
        <v/>
      </c>
      <c r="L167" s="11">
        <f>IF(AND(ISNUMBER(F167),ISNUMBER(I167)),(I167-F167),"")</f>
        <v/>
      </c>
    </row>
    <row r="168">
      <c r="A168" s="3" t="inlineStr">
        <is>
          <t>1205004</t>
        </is>
      </c>
      <c r="B168" s="3" t="inlineStr">
        <is>
          <t>12050</t>
        </is>
      </c>
      <c r="C168" s="10" t="n">
        <v>45667.625</v>
      </c>
      <c r="D168" s="10" t="n">
        <v>45667.62707175926</v>
      </c>
      <c r="E168" s="10" t="n">
        <v>45667.6372337963</v>
      </c>
      <c r="F168" s="10" t="n">
        <v>45667.63952546296</v>
      </c>
      <c r="G168" s="3" t="inlineStr">
        <is>
          <t>OBT100125154054-Graz</t>
        </is>
      </c>
      <c r="H168" s="10" t="n">
        <v>45667.65340277777</v>
      </c>
      <c r="I168" s="10" t="n">
        <v>45667.67649305556</v>
      </c>
      <c r="J168" s="10" t="n">
        <v>45667.67728009259</v>
      </c>
      <c r="K168" s="11">
        <f>IF(AND(ISNUMBER(D168),ISNUMBER(E168)),(E168-D168),"")</f>
        <v/>
      </c>
      <c r="L168" s="11">
        <f>IF(AND(ISNUMBER(F168),ISNUMBER(I168)),(I168-F168),"")</f>
        <v/>
      </c>
    </row>
    <row r="169">
      <c r="A169" s="3" t="inlineStr">
        <is>
          <t>1205101</t>
        </is>
      </c>
      <c r="B169" s="3" t="inlineStr">
        <is>
          <t>12051</t>
        </is>
      </c>
      <c r="C169" s="10" t="n">
        <v>45667.65347222222</v>
      </c>
      <c r="D169" s="10" t="n">
        <v>45667.65542824074</v>
      </c>
      <c r="E169" s="10" t="n">
        <v>45667.66145833334</v>
      </c>
      <c r="F169" s="10" t="n">
        <v>45667.66351851852</v>
      </c>
      <c r="G169" s="3" t="inlineStr">
        <is>
          <t>OBT100125162009-Salzburg</t>
        </is>
      </c>
      <c r="H169" s="10" t="n">
        <v>45667.68065972222</v>
      </c>
      <c r="I169" s="10" t="n">
        <v>45667.70930555555</v>
      </c>
      <c r="J169" s="10" t="n">
        <v>45667.71026620371</v>
      </c>
      <c r="K169" s="11">
        <f>IF(AND(ISNUMBER(D169),ISNUMBER(E169)),(E169-D169),"")</f>
        <v/>
      </c>
      <c r="L169" s="11">
        <f>IF(AND(ISNUMBER(F169),ISNUMBER(I169)),(I169-F169),"")</f>
        <v/>
      </c>
    </row>
    <row r="170">
      <c r="A170" s="3" t="inlineStr">
        <is>
          <t>1205102</t>
        </is>
      </c>
      <c r="B170" s="3" t="inlineStr">
        <is>
          <t>12051</t>
        </is>
      </c>
      <c r="C170" s="10" t="n">
        <v>45667.65347222222</v>
      </c>
      <c r="D170" s="10" t="n">
        <v>45667.65542824074</v>
      </c>
      <c r="E170" s="10" t="n">
        <v>45667.66145833334</v>
      </c>
      <c r="F170" s="10" t="n">
        <v>45667.66351851852</v>
      </c>
      <c r="G170" s="3" t="inlineStr">
        <is>
          <t>OBT100125162009-Salzburg</t>
        </is>
      </c>
      <c r="H170" s="10" t="n">
        <v>45667.68065972222</v>
      </c>
      <c r="I170" s="10" t="n">
        <v>45667.70930555555</v>
      </c>
      <c r="J170" s="10" t="n">
        <v>45667.71026620371</v>
      </c>
      <c r="K170" s="11">
        <f>IF(AND(ISNUMBER(D170),ISNUMBER(E170)),(E170-D170),"")</f>
        <v/>
      </c>
      <c r="L170" s="11">
        <f>IF(AND(ISNUMBER(F170),ISNUMBER(I170)),(I170-F170),"")</f>
        <v/>
      </c>
    </row>
    <row r="171">
      <c r="A171" s="3" t="inlineStr">
        <is>
          <t>1205103</t>
        </is>
      </c>
      <c r="B171" s="3" t="inlineStr">
        <is>
          <t>12051</t>
        </is>
      </c>
      <c r="C171" s="10" t="n">
        <v>45667.65347222222</v>
      </c>
      <c r="D171" s="10" t="n">
        <v>45667.65542824074</v>
      </c>
      <c r="E171" s="10" t="n">
        <v>45667.66145833334</v>
      </c>
      <c r="F171" s="10" t="n">
        <v>45667.66351851852</v>
      </c>
      <c r="G171" s="3" t="inlineStr">
        <is>
          <t>OBT100125162009-Salzburg</t>
        </is>
      </c>
      <c r="H171" s="10" t="n">
        <v>45667.68065972222</v>
      </c>
      <c r="I171" s="10" t="n">
        <v>45667.70930555555</v>
      </c>
      <c r="J171" s="10" t="n">
        <v>45667.71026620371</v>
      </c>
      <c r="K171" s="11">
        <f>IF(AND(ISNUMBER(D171),ISNUMBER(E171)),(E171-D171),"")</f>
        <v/>
      </c>
      <c r="L171" s="11">
        <f>IF(AND(ISNUMBER(F171),ISNUMBER(I171)),(I171-F171),"")</f>
        <v/>
      </c>
    </row>
    <row r="172">
      <c r="A172" s="3" t="inlineStr">
        <is>
          <t>1205201</t>
        </is>
      </c>
      <c r="B172" s="3" t="inlineStr">
        <is>
          <t>12052</t>
        </is>
      </c>
      <c r="C172" s="10" t="n">
        <v>45667.67569444444</v>
      </c>
      <c r="D172" s="10" t="n">
        <v>45667.67780092593</v>
      </c>
      <c r="E172" s="10" t="n">
        <v>45667.68555555555</v>
      </c>
      <c r="F172" s="10" t="n">
        <v>45667.68728009259</v>
      </c>
      <c r="G172" s="3" t="inlineStr">
        <is>
          <t>OBT100125165346-Linz</t>
        </is>
      </c>
      <c r="H172" s="10" t="n">
        <v>45667.70400462963</v>
      </c>
      <c r="I172" s="10" t="n">
        <v>45667.73629629629</v>
      </c>
      <c r="J172" s="10" t="n">
        <v>45667.73730324074</v>
      </c>
      <c r="K172" s="11">
        <f>IF(AND(ISNUMBER(D172),ISNUMBER(E172)),(E172-D172),"")</f>
        <v/>
      </c>
      <c r="L172" s="11">
        <f>IF(AND(ISNUMBER(F172),ISNUMBER(I172)),(I172-F172),"")</f>
        <v/>
      </c>
    </row>
    <row r="173">
      <c r="A173" s="3" t="inlineStr">
        <is>
          <t>1205202</t>
        </is>
      </c>
      <c r="B173" s="3" t="inlineStr">
        <is>
          <t>12052</t>
        </is>
      </c>
      <c r="C173" s="10" t="n">
        <v>45667.67569444444</v>
      </c>
      <c r="D173" s="10" t="n">
        <v>45667.67780092593</v>
      </c>
      <c r="E173" s="10" t="n">
        <v>45667.68728009259</v>
      </c>
      <c r="F173" s="10" t="n">
        <v>45667.68915509259</v>
      </c>
      <c r="G173" s="3" t="inlineStr">
        <is>
          <t>OBT100125165112-Innsbruck</t>
        </is>
      </c>
      <c r="H173" s="10" t="n">
        <v>45667.70222222222</v>
      </c>
      <c r="I173" s="10" t="n">
        <v>45667.73083333333</v>
      </c>
      <c r="J173" s="10" t="n">
        <v>45667.73171296297</v>
      </c>
      <c r="K173" s="11">
        <f>IF(AND(ISNUMBER(D173),ISNUMBER(E173)),(E173-D173),"")</f>
        <v/>
      </c>
      <c r="L173" s="11">
        <f>IF(AND(ISNUMBER(F173),ISNUMBER(I173)),(I173-F173),"")</f>
        <v/>
      </c>
    </row>
    <row r="174">
      <c r="A174" s="3" t="inlineStr">
        <is>
          <t>1205203</t>
        </is>
      </c>
      <c r="B174" s="3" t="inlineStr">
        <is>
          <t>12052</t>
        </is>
      </c>
      <c r="C174" s="10" t="n">
        <v>45667.67569444444</v>
      </c>
      <c r="D174" s="10" t="n">
        <v>45667.67780092593</v>
      </c>
      <c r="E174" s="10" t="n">
        <v>45667.68915509259</v>
      </c>
      <c r="F174" s="10" t="n">
        <v>45667.69091435185</v>
      </c>
      <c r="G174" s="3" t="inlineStr">
        <is>
          <t>OBT100125165346-Linz</t>
        </is>
      </c>
      <c r="H174" s="10" t="n">
        <v>45667.70400462963</v>
      </c>
      <c r="I174" s="10" t="n">
        <v>45667.73629629629</v>
      </c>
      <c r="J174" s="10" t="n">
        <v>45667.73730324074</v>
      </c>
      <c r="K174" s="11">
        <f>IF(AND(ISNUMBER(D174),ISNUMBER(E174)),(E174-D174),"")</f>
        <v/>
      </c>
      <c r="L174" s="11">
        <f>IF(AND(ISNUMBER(F174),ISNUMBER(I174)),(I174-F174),"")</f>
        <v/>
      </c>
    </row>
    <row r="175">
      <c r="A175" s="3" t="inlineStr">
        <is>
          <t>1205301</t>
        </is>
      </c>
      <c r="B175" s="3" t="inlineStr">
        <is>
          <t>12053</t>
        </is>
      </c>
      <c r="C175" s="10" t="n">
        <v>45667.70416666667</v>
      </c>
      <c r="D175" s="10" t="n">
        <v>45667.70605324074</v>
      </c>
      <c r="E175" s="10" t="n">
        <v>45667.71289351852</v>
      </c>
      <c r="F175" s="10" t="n">
        <v>45667.71424768519</v>
      </c>
      <c r="G175" s="3" t="inlineStr">
        <is>
          <t>OBT110125122417-Budapest</t>
        </is>
      </c>
      <c r="H175" s="10" t="n">
        <v>45668.51686342592</v>
      </c>
      <c r="I175" s="10" t="n">
        <v>45668.5399537037</v>
      </c>
      <c r="J175" s="10" t="n">
        <v>45668.54067129629</v>
      </c>
      <c r="K175" s="11">
        <f>IF(AND(ISNUMBER(D175),ISNUMBER(E175)),(E175-D175),"")</f>
        <v/>
      </c>
      <c r="L175" s="11">
        <f>IF(AND(ISNUMBER(F175),ISNUMBER(I175)),(I175-F175),"")</f>
        <v/>
      </c>
    </row>
    <row r="176">
      <c r="A176" s="3" t="inlineStr">
        <is>
          <t>1205302</t>
        </is>
      </c>
      <c r="B176" s="3" t="inlineStr">
        <is>
          <t>12053</t>
        </is>
      </c>
      <c r="C176" s="10" t="n">
        <v>45667.70416666667</v>
      </c>
      <c r="D176" s="10" t="n">
        <v>45667.70605324074</v>
      </c>
      <c r="E176" s="10" t="n">
        <v>45667.71424768519</v>
      </c>
      <c r="F176" s="10" t="n">
        <v>45667.71545138889</v>
      </c>
      <c r="G176" s="3" t="inlineStr">
        <is>
          <t>OBT110125063829-Ljubljana</t>
        </is>
      </c>
      <c r="H176" s="10" t="n">
        <v>45668.27672453703</v>
      </c>
      <c r="I176" s="10" t="n">
        <v>45668.29701388889</v>
      </c>
      <c r="J176" s="10" t="n">
        <v>45668.29773148148</v>
      </c>
      <c r="K176" s="11">
        <f>IF(AND(ISNUMBER(D176),ISNUMBER(E176)),(E176-D176),"")</f>
        <v/>
      </c>
      <c r="L176" s="11">
        <f>IF(AND(ISNUMBER(F176),ISNUMBER(I176)),(I176-F176),"")</f>
        <v/>
      </c>
    </row>
    <row r="177">
      <c r="A177" s="3" t="inlineStr">
        <is>
          <t>1205303</t>
        </is>
      </c>
      <c r="B177" s="3" t="inlineStr">
        <is>
          <t>12053</t>
        </is>
      </c>
      <c r="C177" s="10" t="n">
        <v>45667.70416666667</v>
      </c>
      <c r="D177" s="10" t="n">
        <v>45667.70605324074</v>
      </c>
      <c r="E177" s="10" t="n">
        <v>45667.71545138889</v>
      </c>
      <c r="F177" s="10" t="n">
        <v>45667.71679398148</v>
      </c>
      <c r="G177" s="3" t="inlineStr">
        <is>
          <t>OBT110125122417-Budapest</t>
        </is>
      </c>
      <c r="H177" s="10" t="n">
        <v>45668.51686342592</v>
      </c>
      <c r="I177" s="10" t="n">
        <v>45668.5399537037</v>
      </c>
      <c r="J177" s="10" t="n">
        <v>45668.54067129629</v>
      </c>
      <c r="K177" s="11">
        <f>IF(AND(ISNUMBER(D177),ISNUMBER(E177)),(E177-D177),"")</f>
        <v/>
      </c>
      <c r="L177" s="11">
        <f>IF(AND(ISNUMBER(F177),ISNUMBER(I177)),(I177-F177),"")</f>
        <v/>
      </c>
    </row>
    <row r="178">
      <c r="A178" s="3" t="inlineStr">
        <is>
          <t>1205401</t>
        </is>
      </c>
      <c r="B178" s="3" t="inlineStr">
        <is>
          <t>12054</t>
        </is>
      </c>
      <c r="C178" s="10" t="n">
        <v>45667.83333333334</v>
      </c>
      <c r="D178" s="10" t="n">
        <v>45667.83525462963</v>
      </c>
      <c r="E178" s="10" t="n">
        <v>45667.84122685185</v>
      </c>
      <c r="F178" s="10" t="n">
        <v>45667.8434375</v>
      </c>
      <c r="G178" s="3" t="inlineStr">
        <is>
          <t>OBT110125074027-Salzburg</t>
        </is>
      </c>
      <c r="H178" s="10" t="n">
        <v>45668.31975694445</v>
      </c>
      <c r="I178" s="10" t="n">
        <v>45668.34690972222</v>
      </c>
      <c r="J178" s="10" t="n">
        <v>45668.34769675926</v>
      </c>
      <c r="K178" s="11">
        <f>IF(AND(ISNUMBER(D178),ISNUMBER(E178)),(E178-D178),"")</f>
        <v/>
      </c>
      <c r="L178" s="11">
        <f>IF(AND(ISNUMBER(F178),ISNUMBER(I178)),(I178-F178),"")</f>
        <v/>
      </c>
    </row>
    <row r="179">
      <c r="A179" s="3" t="inlineStr">
        <is>
          <t>1205402</t>
        </is>
      </c>
      <c r="B179" s="3" t="inlineStr">
        <is>
          <t>12054</t>
        </is>
      </c>
      <c r="C179" s="10" t="n">
        <v>45667.83333333334</v>
      </c>
      <c r="D179" s="10" t="n">
        <v>45667.83525462963</v>
      </c>
      <c r="E179" s="10" t="n">
        <v>45667.84122685185</v>
      </c>
      <c r="F179" s="10" t="n">
        <v>45667.8434375</v>
      </c>
      <c r="G179" s="3" t="inlineStr">
        <is>
          <t>OBT110125074027-Salzburg</t>
        </is>
      </c>
      <c r="H179" s="10" t="n">
        <v>45668.31975694445</v>
      </c>
      <c r="I179" s="10" t="n">
        <v>45668.34690972222</v>
      </c>
      <c r="J179" s="10" t="n">
        <v>45668.34769675926</v>
      </c>
      <c r="K179" s="11">
        <f>IF(AND(ISNUMBER(D179),ISNUMBER(E179)),(E179-D179),"")</f>
        <v/>
      </c>
      <c r="L179" s="11">
        <f>IF(AND(ISNUMBER(F179),ISNUMBER(I179)),(I179-F179),"")</f>
        <v/>
      </c>
    </row>
    <row r="180">
      <c r="A180" s="3" t="inlineStr">
        <is>
          <t>1205403</t>
        </is>
      </c>
      <c r="B180" s="3" t="inlineStr">
        <is>
          <t>12054</t>
        </is>
      </c>
      <c r="C180" s="10" t="n">
        <v>45667.83333333334</v>
      </c>
      <c r="D180" s="10" t="n">
        <v>45667.83525462963</v>
      </c>
      <c r="E180" s="10" t="n">
        <v>45667.8434375</v>
      </c>
      <c r="F180" s="10" t="n">
        <v>45667.84523148148</v>
      </c>
      <c r="G180" s="3" t="inlineStr">
        <is>
          <t>OBT110125125652-Vienna</t>
        </is>
      </c>
      <c r="H180" s="10" t="n">
        <v>45668.53949074074</v>
      </c>
      <c r="I180" s="10" t="n">
        <v>45668.56946759259</v>
      </c>
      <c r="J180" s="10" t="n">
        <v>45668.57042824074</v>
      </c>
      <c r="K180" s="11">
        <f>IF(AND(ISNUMBER(D180),ISNUMBER(E180)),(E180-D180),"")</f>
        <v/>
      </c>
      <c r="L180" s="11">
        <f>IF(AND(ISNUMBER(F180),ISNUMBER(I180)),(I180-F180),"")</f>
        <v/>
      </c>
    </row>
    <row r="181">
      <c r="A181" s="3" t="inlineStr">
        <is>
          <t>1205501</t>
        </is>
      </c>
      <c r="B181" s="3" t="inlineStr">
        <is>
          <t>12055</t>
        </is>
      </c>
      <c r="C181" s="10" t="n">
        <v>45667.9375</v>
      </c>
      <c r="D181" s="10" t="n">
        <v>45667.93931712963</v>
      </c>
      <c r="E181" s="10" t="n">
        <v>45667.9458912037</v>
      </c>
      <c r="F181" s="10" t="n">
        <v>45667.94768518519</v>
      </c>
      <c r="G181" s="3" t="inlineStr">
        <is>
          <t>OBT110125073539-Innsbruck</t>
        </is>
      </c>
      <c r="H181" s="10" t="n">
        <v>45668.31642361111</v>
      </c>
      <c r="I181" s="10" t="n">
        <v>45668.35204861111</v>
      </c>
      <c r="J181" s="10" t="n">
        <v>45668.35299768519</v>
      </c>
      <c r="K181" s="11">
        <f>IF(AND(ISNUMBER(D181),ISNUMBER(E181)),(E181-D181),"")</f>
        <v/>
      </c>
      <c r="L181" s="11">
        <f>IF(AND(ISNUMBER(F181),ISNUMBER(I181)),(I181-F181),"")</f>
        <v/>
      </c>
    </row>
    <row r="182">
      <c r="A182" s="3" t="inlineStr">
        <is>
          <t>1205502</t>
        </is>
      </c>
      <c r="B182" s="3" t="inlineStr">
        <is>
          <t>12055</t>
        </is>
      </c>
      <c r="C182" s="10" t="n">
        <v>45667.9375</v>
      </c>
      <c r="D182" s="10" t="n">
        <v>45667.93931712963</v>
      </c>
      <c r="E182" s="10" t="n">
        <v>45667.94768518519</v>
      </c>
      <c r="F182" s="10" t="n">
        <v>45667.94967592593</v>
      </c>
      <c r="G182" s="3" t="inlineStr">
        <is>
          <t>OBT110125063952-Graz</t>
        </is>
      </c>
      <c r="H182" s="10" t="n">
        <v>45668.27768518519</v>
      </c>
      <c r="I182" s="10" t="n">
        <v>45668.30355324074</v>
      </c>
      <c r="J182" s="10" t="n">
        <v>45668.30443287037</v>
      </c>
      <c r="K182" s="11">
        <f>IF(AND(ISNUMBER(D182),ISNUMBER(E182)),(E182-D182),"")</f>
        <v/>
      </c>
      <c r="L182" s="11">
        <f>IF(AND(ISNUMBER(F182),ISNUMBER(I182)),(I182-F182),"")</f>
        <v/>
      </c>
    </row>
    <row r="183">
      <c r="A183" s="3" t="inlineStr">
        <is>
          <t>1205503</t>
        </is>
      </c>
      <c r="B183" s="3" t="inlineStr">
        <is>
          <t>12055</t>
        </is>
      </c>
      <c r="C183" s="10" t="n">
        <v>45667.9375</v>
      </c>
      <c r="D183" s="10" t="n">
        <v>45667.93931712963</v>
      </c>
      <c r="E183" s="10" t="n">
        <v>45667.94967592593</v>
      </c>
      <c r="F183" s="10" t="n">
        <v>45667.95146990741</v>
      </c>
      <c r="G183" s="3" t="inlineStr">
        <is>
          <t>OBT110125073539-Innsbruck</t>
        </is>
      </c>
      <c r="H183" s="10" t="n">
        <v>45668.31642361111</v>
      </c>
      <c r="I183" s="10" t="n">
        <v>45668.35204861111</v>
      </c>
      <c r="J183" s="10" t="n">
        <v>45668.35299768519</v>
      </c>
      <c r="K183" s="11">
        <f>IF(AND(ISNUMBER(D183),ISNUMBER(E183)),(E183-D183),"")</f>
        <v/>
      </c>
      <c r="L183" s="11">
        <f>IF(AND(ISNUMBER(F183),ISNUMBER(I183)),(I183-F183),"")</f>
        <v/>
      </c>
    </row>
    <row r="184">
      <c r="A184" s="3" t="inlineStr">
        <is>
          <t>1205601</t>
        </is>
      </c>
      <c r="B184" s="3" t="inlineStr">
        <is>
          <t>12056</t>
        </is>
      </c>
      <c r="C184" s="10" t="n">
        <v>45668.25</v>
      </c>
      <c r="D184" s="10" t="n">
        <v>45668.25185185186</v>
      </c>
      <c r="E184" s="10" t="n">
        <v>45668.2575462963</v>
      </c>
      <c r="F184" s="10" t="n">
        <v>45668.25972222222</v>
      </c>
      <c r="G184" s="3" t="inlineStr">
        <is>
          <t>OBT110125063952-Graz</t>
        </is>
      </c>
      <c r="H184" s="10" t="n">
        <v>45668.27768518519</v>
      </c>
      <c r="I184" s="10" t="n">
        <v>45668.30355324074</v>
      </c>
      <c r="J184" s="10" t="n">
        <v>45668.30443287037</v>
      </c>
      <c r="K184" s="11">
        <f>IF(AND(ISNUMBER(D184),ISNUMBER(E184)),(E184-D184),"")</f>
        <v/>
      </c>
      <c r="L184" s="11">
        <f>IF(AND(ISNUMBER(F184),ISNUMBER(I184)),(I184-F184),"")</f>
        <v/>
      </c>
    </row>
    <row r="185">
      <c r="A185" s="3" t="inlineStr">
        <is>
          <t>1205602</t>
        </is>
      </c>
      <c r="B185" s="3" t="inlineStr">
        <is>
          <t>12056</t>
        </is>
      </c>
      <c r="C185" s="10" t="n">
        <v>45668.25</v>
      </c>
      <c r="D185" s="10" t="n">
        <v>45668.25185185186</v>
      </c>
      <c r="E185" s="10" t="n">
        <v>45668.2575462963</v>
      </c>
      <c r="F185" s="10" t="n">
        <v>45668.25972222222</v>
      </c>
      <c r="G185" s="3" t="inlineStr">
        <is>
          <t>OBT110125063952-Graz</t>
        </is>
      </c>
      <c r="H185" s="10" t="n">
        <v>45668.27768518519</v>
      </c>
      <c r="I185" s="10" t="n">
        <v>45668.30355324074</v>
      </c>
      <c r="J185" s="10" t="n">
        <v>45668.30443287037</v>
      </c>
      <c r="K185" s="11">
        <f>IF(AND(ISNUMBER(D185),ISNUMBER(E185)),(E185-D185),"")</f>
        <v/>
      </c>
      <c r="L185" s="11">
        <f>IF(AND(ISNUMBER(F185),ISNUMBER(I185)),(I185-F185),"")</f>
        <v/>
      </c>
    </row>
    <row r="186">
      <c r="A186" s="3" t="inlineStr">
        <is>
          <t>1205701</t>
        </is>
      </c>
      <c r="B186" s="3" t="inlineStr">
        <is>
          <t>12057</t>
        </is>
      </c>
      <c r="C186" s="10" t="n">
        <v>45668.25902777778</v>
      </c>
      <c r="D186" s="10" t="n">
        <v>45668.26047453703</v>
      </c>
      <c r="E186" s="10" t="n">
        <v>45668.26732638889</v>
      </c>
      <c r="F186" s="10" t="n">
        <v>45668.2685300926</v>
      </c>
      <c r="G186" s="3" t="inlineStr">
        <is>
          <t>OBT110125063829-Ljubljana</t>
        </is>
      </c>
      <c r="H186" s="10" t="n">
        <v>45668.27672453703</v>
      </c>
      <c r="I186" s="10" t="n">
        <v>45668.29701388889</v>
      </c>
      <c r="J186" s="10" t="n">
        <v>45668.29773148148</v>
      </c>
      <c r="K186" s="11">
        <f>IF(AND(ISNUMBER(D186),ISNUMBER(E186)),(E186-D186),"")</f>
        <v/>
      </c>
      <c r="L186" s="11">
        <f>IF(AND(ISNUMBER(F186),ISNUMBER(I186)),(I186-F186),"")</f>
        <v/>
      </c>
    </row>
    <row r="187">
      <c r="A187" s="3" t="inlineStr">
        <is>
          <t>1205702</t>
        </is>
      </c>
      <c r="B187" s="3" t="inlineStr">
        <is>
          <t>12057</t>
        </is>
      </c>
      <c r="C187" s="10" t="n">
        <v>45668.25902777778</v>
      </c>
      <c r="D187" s="10" t="n">
        <v>45668.26047453703</v>
      </c>
      <c r="E187" s="10" t="n">
        <v>45668.2685300926</v>
      </c>
      <c r="F187" s="10" t="n">
        <v>45668.2702662037</v>
      </c>
      <c r="G187" s="3" t="inlineStr">
        <is>
          <t>OBT110125215724-Graz</t>
        </is>
      </c>
      <c r="H187" s="10" t="n">
        <v>45668.91486111111</v>
      </c>
      <c r="I187" s="10" t="n">
        <v>45668.96015046296</v>
      </c>
      <c r="J187" s="10" t="n">
        <v>45668.96125</v>
      </c>
      <c r="K187" s="11">
        <f>IF(AND(ISNUMBER(D187),ISNUMBER(E187)),(E187-D187),"")</f>
        <v/>
      </c>
      <c r="L187" s="11">
        <f>IF(AND(ISNUMBER(F187),ISNUMBER(I187)),(I187-F187),"")</f>
        <v/>
      </c>
    </row>
    <row r="188">
      <c r="A188" s="3" t="inlineStr">
        <is>
          <t>1205703</t>
        </is>
      </c>
      <c r="B188" s="3" t="inlineStr">
        <is>
          <t>12057</t>
        </is>
      </c>
      <c r="C188" s="10" t="n">
        <v>45668.25902777778</v>
      </c>
      <c r="D188" s="10" t="n">
        <v>45668.26047453703</v>
      </c>
      <c r="E188" s="10" t="n">
        <v>45668.2702662037</v>
      </c>
      <c r="F188" s="10" t="n">
        <v>45668.2719212963</v>
      </c>
      <c r="G188" s="3" t="inlineStr">
        <is>
          <t>OBT110125071413-Ljubljana</t>
        </is>
      </c>
      <c r="H188" s="10" t="n">
        <v>45668.30153935185</v>
      </c>
      <c r="I188" s="10" t="n">
        <v>45668.33295138889</v>
      </c>
      <c r="J188" s="10" t="n">
        <v>45668.33394675926</v>
      </c>
      <c r="K188" s="11">
        <f>IF(AND(ISNUMBER(D188),ISNUMBER(E188)),(E188-D188),"")</f>
        <v/>
      </c>
      <c r="L188" s="11">
        <f>IF(AND(ISNUMBER(F188),ISNUMBER(I188)),(I188-F188),"")</f>
        <v/>
      </c>
    </row>
    <row r="189">
      <c r="A189" s="3" t="inlineStr">
        <is>
          <t>1205801</t>
        </is>
      </c>
      <c r="B189" s="3" t="inlineStr">
        <is>
          <t>12058</t>
        </is>
      </c>
      <c r="C189" s="10" t="n">
        <v>45668.27152777778</v>
      </c>
      <c r="D189" s="10" t="n">
        <v>45668.27341435185</v>
      </c>
      <c r="E189" s="10" t="n">
        <v>45668.27924768518</v>
      </c>
      <c r="F189" s="10" t="n">
        <v>45668.28112268518</v>
      </c>
      <c r="G189" s="3" t="inlineStr">
        <is>
          <t>OBT110125071413-Ljubljana</t>
        </is>
      </c>
      <c r="H189" s="10" t="n">
        <v>45668.30153935185</v>
      </c>
      <c r="I189" s="10" t="n">
        <v>45668.33295138889</v>
      </c>
      <c r="J189" s="10" t="n">
        <v>45668.33394675926</v>
      </c>
      <c r="K189" s="11">
        <f>IF(AND(ISNUMBER(D189),ISNUMBER(E189)),(E189-D189),"")</f>
        <v/>
      </c>
      <c r="L189" s="11">
        <f>IF(AND(ISNUMBER(F189),ISNUMBER(I189)),(I189-F189),"")</f>
        <v/>
      </c>
    </row>
    <row r="190">
      <c r="A190" s="3" t="inlineStr">
        <is>
          <t>1205802</t>
        </is>
      </c>
      <c r="B190" s="3" t="inlineStr">
        <is>
          <t>12058</t>
        </is>
      </c>
      <c r="C190" s="10" t="n">
        <v>45668.27152777778</v>
      </c>
      <c r="D190" s="10" t="n">
        <v>45668.27341435185</v>
      </c>
      <c r="E190" s="10" t="n">
        <v>45668.27924768518</v>
      </c>
      <c r="F190" s="10" t="n">
        <v>45668.28112268518</v>
      </c>
      <c r="G190" s="3" t="inlineStr">
        <is>
          <t>OBT110125071413-Ljubljana</t>
        </is>
      </c>
      <c r="H190" s="10" t="n">
        <v>45668.30153935185</v>
      </c>
      <c r="I190" s="10" t="n">
        <v>45668.33295138889</v>
      </c>
      <c r="J190" s="10" t="n">
        <v>45668.33394675926</v>
      </c>
      <c r="K190" s="11">
        <f>IF(AND(ISNUMBER(D190),ISNUMBER(E190)),(E190-D190),"")</f>
        <v/>
      </c>
      <c r="L190" s="11">
        <f>IF(AND(ISNUMBER(F190),ISNUMBER(I190)),(I190-F190),"")</f>
        <v/>
      </c>
    </row>
    <row r="191">
      <c r="A191" s="3" t="inlineStr">
        <is>
          <t>1205803</t>
        </is>
      </c>
      <c r="B191" s="3" t="inlineStr">
        <is>
          <t>12058</t>
        </is>
      </c>
      <c r="C191" s="10" t="n">
        <v>45668.27152777778</v>
      </c>
      <c r="D191" s="10" t="n">
        <v>45668.27341435185</v>
      </c>
      <c r="E191" s="10" t="n">
        <v>45668.27924768518</v>
      </c>
      <c r="F191" s="10" t="n">
        <v>45668.28112268518</v>
      </c>
      <c r="G191" s="3" t="inlineStr">
        <is>
          <t>OBT110125071413-Ljubljana</t>
        </is>
      </c>
      <c r="H191" s="10" t="n">
        <v>45668.30153935185</v>
      </c>
      <c r="I191" s="10" t="n">
        <v>45668.33295138889</v>
      </c>
      <c r="J191" s="10" t="n">
        <v>45668.33394675926</v>
      </c>
      <c r="K191" s="11">
        <f>IF(AND(ISNUMBER(D191),ISNUMBER(E191)),(E191-D191),"")</f>
        <v/>
      </c>
      <c r="L191" s="11">
        <f>IF(AND(ISNUMBER(F191),ISNUMBER(I191)),(I191-F191),"")</f>
        <v/>
      </c>
    </row>
    <row r="192">
      <c r="A192" s="3" t="inlineStr">
        <is>
          <t>1205901</t>
        </is>
      </c>
      <c r="B192" s="3" t="inlineStr">
        <is>
          <t>12059</t>
        </is>
      </c>
      <c r="C192" s="10" t="n">
        <v>45668.28888888889</v>
      </c>
      <c r="D192" s="10" t="n">
        <v>45668.29074074074</v>
      </c>
      <c r="E192" s="10" t="n">
        <v>45668.29650462963</v>
      </c>
      <c r="F192" s="10" t="n">
        <v>45668.29848379629</v>
      </c>
      <c r="G192" s="3" t="inlineStr">
        <is>
          <t>OBT110125073539-Innsbruck</t>
        </is>
      </c>
      <c r="H192" s="10" t="n">
        <v>45668.31642361111</v>
      </c>
      <c r="I192" s="10" t="n">
        <v>45668.35204861111</v>
      </c>
      <c r="J192" s="10" t="n">
        <v>45668.35299768519</v>
      </c>
      <c r="K192" s="11">
        <f>IF(AND(ISNUMBER(D192),ISNUMBER(E192)),(E192-D192),"")</f>
        <v/>
      </c>
      <c r="L192" s="11">
        <f>IF(AND(ISNUMBER(F192),ISNUMBER(I192)),(I192-F192),"")</f>
        <v/>
      </c>
    </row>
    <row r="193">
      <c r="A193" s="3" t="inlineStr">
        <is>
          <t>1205902</t>
        </is>
      </c>
      <c r="B193" s="3" t="inlineStr">
        <is>
          <t>12059</t>
        </is>
      </c>
      <c r="C193" s="10" t="n">
        <v>45668.28888888889</v>
      </c>
      <c r="D193" s="10" t="n">
        <v>45668.29074074074</v>
      </c>
      <c r="E193" s="10" t="n">
        <v>45668.29650462963</v>
      </c>
      <c r="F193" s="10" t="n">
        <v>45668.29848379629</v>
      </c>
      <c r="G193" s="3" t="inlineStr">
        <is>
          <t>OBT110125073539-Innsbruck</t>
        </is>
      </c>
      <c r="H193" s="10" t="n">
        <v>45668.31642361111</v>
      </c>
      <c r="I193" s="10" t="n">
        <v>45668.35204861111</v>
      </c>
      <c r="J193" s="10" t="n">
        <v>45668.35299768519</v>
      </c>
      <c r="K193" s="11">
        <f>IF(AND(ISNUMBER(D193),ISNUMBER(E193)),(E193-D193),"")</f>
        <v/>
      </c>
      <c r="L193" s="11">
        <f>IF(AND(ISNUMBER(F193),ISNUMBER(I193)),(I193-F193),"")</f>
        <v/>
      </c>
    </row>
    <row r="194">
      <c r="A194" s="3" t="inlineStr">
        <is>
          <t>1205903</t>
        </is>
      </c>
      <c r="B194" s="3" t="inlineStr">
        <is>
          <t>12059</t>
        </is>
      </c>
      <c r="C194" s="10" t="n">
        <v>45668.28888888889</v>
      </c>
      <c r="D194" s="10" t="n">
        <v>45668.29074074074</v>
      </c>
      <c r="E194" s="10" t="n">
        <v>45668.29650462963</v>
      </c>
      <c r="F194" s="10" t="n">
        <v>45668.29848379629</v>
      </c>
      <c r="G194" s="3" t="inlineStr">
        <is>
          <t>OBT110125073539-Innsbruck</t>
        </is>
      </c>
      <c r="H194" s="10" t="n">
        <v>45668.31642361111</v>
      </c>
      <c r="I194" s="10" t="n">
        <v>45668.35204861111</v>
      </c>
      <c r="J194" s="10" t="n">
        <v>45668.35299768519</v>
      </c>
      <c r="K194" s="11">
        <f>IF(AND(ISNUMBER(D194),ISNUMBER(E194)),(E194-D194),"")</f>
        <v/>
      </c>
      <c r="L194" s="11">
        <f>IF(AND(ISNUMBER(F194),ISNUMBER(I194)),(I194-F194),"")</f>
        <v/>
      </c>
    </row>
    <row r="195">
      <c r="A195" s="3" t="inlineStr">
        <is>
          <t>1206001</t>
        </is>
      </c>
      <c r="B195" s="3" t="inlineStr">
        <is>
          <t>12060</t>
        </is>
      </c>
      <c r="C195" s="10" t="n">
        <v>45668.30347222222</v>
      </c>
      <c r="D195" s="10" t="n">
        <v>45668.30532407408</v>
      </c>
      <c r="E195" s="10" t="n">
        <v>45668.31193287037</v>
      </c>
      <c r="F195" s="10" t="n">
        <v>45668.31400462963</v>
      </c>
      <c r="G195" s="3" t="inlineStr">
        <is>
          <t>OBT110125074027-Salzburg</t>
        </is>
      </c>
      <c r="H195" s="10" t="n">
        <v>45668.31975694445</v>
      </c>
      <c r="I195" s="10" t="n">
        <v>45668.34690972222</v>
      </c>
      <c r="J195" s="10" t="n">
        <v>45668.34769675926</v>
      </c>
      <c r="K195" s="11">
        <f>IF(AND(ISNUMBER(D195),ISNUMBER(E195)),(E195-D195),"")</f>
        <v/>
      </c>
      <c r="L195" s="11">
        <f>IF(AND(ISNUMBER(F195),ISNUMBER(I195)),(I195-F195),"")</f>
        <v/>
      </c>
    </row>
    <row r="196">
      <c r="A196" s="3" t="inlineStr">
        <is>
          <t>1206002</t>
        </is>
      </c>
      <c r="B196" s="3" t="inlineStr">
        <is>
          <t>12060</t>
        </is>
      </c>
      <c r="C196" s="10" t="n">
        <v>45668.30347222222</v>
      </c>
      <c r="D196" s="10" t="n">
        <v>45668.30532407408</v>
      </c>
      <c r="E196" s="10" t="n">
        <v>45668.31400462963</v>
      </c>
      <c r="F196" s="10" t="n">
        <v>45668.31594907407</v>
      </c>
      <c r="G196" s="3" t="inlineStr">
        <is>
          <t>OBT110125130321-Klagenfurt</t>
        </is>
      </c>
      <c r="H196" s="10" t="n">
        <v>45668.54399305556</v>
      </c>
      <c r="I196" s="10" t="n">
        <v>45668.59182870371</v>
      </c>
      <c r="J196" s="10" t="n">
        <v>45668.59255787037</v>
      </c>
      <c r="K196" s="11">
        <f>IF(AND(ISNUMBER(D196),ISNUMBER(E196)),(E196-D196),"")</f>
        <v/>
      </c>
      <c r="L196" s="11">
        <f>IF(AND(ISNUMBER(F196),ISNUMBER(I196)),(I196-F196),"")</f>
        <v/>
      </c>
    </row>
    <row r="197">
      <c r="A197" s="3" t="inlineStr">
        <is>
          <t>1206003</t>
        </is>
      </c>
      <c r="B197" s="3" t="inlineStr">
        <is>
          <t>12060</t>
        </is>
      </c>
      <c r="C197" s="10" t="n">
        <v>45668.30347222222</v>
      </c>
      <c r="D197" s="10" t="n">
        <v>45668.30532407408</v>
      </c>
      <c r="E197" s="10" t="n">
        <v>45668.31594907407</v>
      </c>
      <c r="F197" s="10" t="n">
        <v>45668.3171875</v>
      </c>
      <c r="G197" s="3" t="inlineStr">
        <is>
          <t>OBT110125130624-Salzburg</t>
        </is>
      </c>
      <c r="H197" s="10" t="n">
        <v>45668.54611111111</v>
      </c>
      <c r="I197" s="10" t="n">
        <v>45668.59805555556</v>
      </c>
      <c r="J197" s="10" t="n">
        <v>45668.59888888889</v>
      </c>
      <c r="K197" s="11">
        <f>IF(AND(ISNUMBER(D197),ISNUMBER(E197)),(E197-D197),"")</f>
        <v/>
      </c>
      <c r="L197" s="11">
        <f>IF(AND(ISNUMBER(F197),ISNUMBER(I197)),(I197-F197),"")</f>
        <v/>
      </c>
    </row>
    <row r="198">
      <c r="A198" s="3" t="inlineStr">
        <is>
          <t>1206101</t>
        </is>
      </c>
      <c r="B198" s="3" t="inlineStr">
        <is>
          <t>12061</t>
        </is>
      </c>
      <c r="C198" s="10" t="n">
        <v>45668.5</v>
      </c>
      <c r="D198" s="10" t="n">
        <v>45668.50185185186</v>
      </c>
      <c r="E198" s="10" t="n">
        <v>45668.50761574074</v>
      </c>
      <c r="F198" s="10" t="n">
        <v>45668.50979166666</v>
      </c>
      <c r="G198" s="3" t="inlineStr">
        <is>
          <t>OBT110125130204-Ljubljana</t>
        </is>
      </c>
      <c r="H198" s="10" t="n">
        <v>45668.54310185185</v>
      </c>
      <c r="I198" s="10" t="n">
        <v>45668.56513888889</v>
      </c>
      <c r="J198" s="10" t="n">
        <v>45668.5658912037</v>
      </c>
      <c r="K198" s="11">
        <f>IF(AND(ISNUMBER(D198),ISNUMBER(E198)),(E198-D198),"")</f>
        <v/>
      </c>
      <c r="L198" s="11">
        <f>IF(AND(ISNUMBER(F198),ISNUMBER(I198)),(I198-F198),"")</f>
        <v/>
      </c>
    </row>
    <row r="199">
      <c r="A199" s="3" t="inlineStr">
        <is>
          <t>1206102</t>
        </is>
      </c>
      <c r="B199" s="3" t="inlineStr">
        <is>
          <t>12061</t>
        </is>
      </c>
      <c r="C199" s="10" t="n">
        <v>45668.5</v>
      </c>
      <c r="D199" s="10" t="n">
        <v>45668.50185185186</v>
      </c>
      <c r="E199" s="10" t="n">
        <v>45668.50979166666</v>
      </c>
      <c r="F199" s="10" t="n">
        <v>45668.51109953703</v>
      </c>
      <c r="G199" s="3" t="inlineStr">
        <is>
          <t>OBT110125122417-Budapest</t>
        </is>
      </c>
      <c r="H199" s="10" t="n">
        <v>45668.51686342592</v>
      </c>
      <c r="I199" s="10" t="n">
        <v>45668.5399537037</v>
      </c>
      <c r="J199" s="10" t="n">
        <v>45668.54067129629</v>
      </c>
      <c r="K199" s="11">
        <f>IF(AND(ISNUMBER(D199),ISNUMBER(E199)),(E199-D199),"")</f>
        <v/>
      </c>
      <c r="L199" s="11">
        <f>IF(AND(ISNUMBER(F199),ISNUMBER(I199)),(I199-F199),"")</f>
        <v/>
      </c>
    </row>
    <row r="200">
      <c r="A200" s="3" t="inlineStr">
        <is>
          <t>1206201</t>
        </is>
      </c>
      <c r="B200" s="3" t="inlineStr">
        <is>
          <t>12062</t>
        </is>
      </c>
      <c r="C200" s="10" t="n">
        <v>45668.51180555556</v>
      </c>
      <c r="D200" s="10" t="n">
        <v>45668.51372685185</v>
      </c>
      <c r="E200" s="10" t="n">
        <v>45668.51956018519</v>
      </c>
      <c r="F200" s="10" t="n">
        <v>45668.52150462963</v>
      </c>
      <c r="G200" s="3" t="inlineStr">
        <is>
          <t>OBT110125125652-Vienna</t>
        </is>
      </c>
      <c r="H200" s="10" t="n">
        <v>45668.53949074074</v>
      </c>
      <c r="I200" s="10" t="n">
        <v>45668.56946759259</v>
      </c>
      <c r="J200" s="10" t="n">
        <v>45668.57042824074</v>
      </c>
      <c r="K200" s="11">
        <f>IF(AND(ISNUMBER(D200),ISNUMBER(E200)),(E200-D200),"")</f>
        <v/>
      </c>
      <c r="L200" s="11">
        <f>IF(AND(ISNUMBER(F200),ISNUMBER(I200)),(I200-F200),"")</f>
        <v/>
      </c>
    </row>
    <row r="201">
      <c r="A201" s="3" t="inlineStr">
        <is>
          <t>1206202</t>
        </is>
      </c>
      <c r="B201" s="3" t="inlineStr">
        <is>
          <t>12062</t>
        </is>
      </c>
      <c r="C201" s="10" t="n">
        <v>45668.51180555556</v>
      </c>
      <c r="D201" s="10" t="n">
        <v>45668.51372685185</v>
      </c>
      <c r="E201" s="10" t="n">
        <v>45668.51956018519</v>
      </c>
      <c r="F201" s="10" t="n">
        <v>45668.52150462963</v>
      </c>
      <c r="G201" s="3" t="inlineStr">
        <is>
          <t>OBT110125125652-Vienna</t>
        </is>
      </c>
      <c r="H201" s="10" t="n">
        <v>45668.53949074074</v>
      </c>
      <c r="I201" s="10" t="n">
        <v>45668.56946759259</v>
      </c>
      <c r="J201" s="10" t="n">
        <v>45668.57042824074</v>
      </c>
      <c r="K201" s="11">
        <f>IF(AND(ISNUMBER(D201),ISNUMBER(E201)),(E201-D201),"")</f>
        <v/>
      </c>
      <c r="L201" s="11">
        <f>IF(AND(ISNUMBER(F201),ISNUMBER(I201)),(I201-F201),"")</f>
        <v/>
      </c>
    </row>
    <row r="202">
      <c r="A202" s="3" t="inlineStr">
        <is>
          <t>1206203</t>
        </is>
      </c>
      <c r="B202" s="3" t="inlineStr">
        <is>
          <t>12062</t>
        </is>
      </c>
      <c r="C202" s="10" t="n">
        <v>45668.51180555556</v>
      </c>
      <c r="D202" s="10" t="n">
        <v>45668.51372685185</v>
      </c>
      <c r="E202" s="10" t="n">
        <v>45668.52150462963</v>
      </c>
      <c r="F202" s="10" t="n">
        <v>45668.52326388889</v>
      </c>
      <c r="G202" s="3" t="inlineStr">
        <is>
          <t>OBT110125215724-Graz</t>
        </is>
      </c>
      <c r="H202" s="10" t="n">
        <v>45668.91486111111</v>
      </c>
      <c r="I202" s="10" t="n">
        <v>45668.96015046296</v>
      </c>
      <c r="J202" s="10" t="n">
        <v>45668.96125</v>
      </c>
      <c r="K202" s="11">
        <f>IF(AND(ISNUMBER(D202),ISNUMBER(E202)),(E202-D202),"")</f>
        <v/>
      </c>
      <c r="L202" s="11">
        <f>IF(AND(ISNUMBER(F202),ISNUMBER(I202)),(I202-F202),"")</f>
        <v/>
      </c>
    </row>
    <row r="203">
      <c r="A203" s="3" t="inlineStr">
        <is>
          <t>1206301</t>
        </is>
      </c>
      <c r="B203" s="3" t="inlineStr">
        <is>
          <t>12063</t>
        </is>
      </c>
      <c r="C203" s="10" t="n">
        <v>45668.52152777778</v>
      </c>
      <c r="D203" s="10" t="n">
        <v>45668.52293981481</v>
      </c>
      <c r="E203" s="10" t="n">
        <v>45668.52841435185</v>
      </c>
      <c r="F203" s="10" t="n">
        <v>45668.52976851852</v>
      </c>
      <c r="G203" s="3" t="inlineStr">
        <is>
          <t>OBT110125130624-Salzburg</t>
        </is>
      </c>
      <c r="H203" s="10" t="n">
        <v>45668.54611111111</v>
      </c>
      <c r="I203" s="10" t="n">
        <v>45668.59805555556</v>
      </c>
      <c r="J203" s="10" t="n">
        <v>45668.59888888889</v>
      </c>
      <c r="K203" s="11">
        <f>IF(AND(ISNUMBER(D203),ISNUMBER(E203)),(E203-D203),"")</f>
        <v/>
      </c>
      <c r="L203" s="11">
        <f>IF(AND(ISNUMBER(F203),ISNUMBER(I203)),(I203-F203),"")</f>
        <v/>
      </c>
    </row>
    <row r="204">
      <c r="A204" s="3" t="inlineStr">
        <is>
          <t>1206302</t>
        </is>
      </c>
      <c r="B204" s="3" t="inlineStr">
        <is>
          <t>12063</t>
        </is>
      </c>
      <c r="C204" s="10" t="n">
        <v>45668.52152777778</v>
      </c>
      <c r="D204" s="10" t="n">
        <v>45668.52293981481</v>
      </c>
      <c r="E204" s="10" t="n">
        <v>45668.52841435185</v>
      </c>
      <c r="F204" s="10" t="n">
        <v>45668.52976851852</v>
      </c>
      <c r="G204" s="3" t="inlineStr">
        <is>
          <t>OBT110125130624-Salzburg</t>
        </is>
      </c>
      <c r="H204" s="10" t="n">
        <v>45668.54611111111</v>
      </c>
      <c r="I204" s="10" t="n">
        <v>45668.59805555556</v>
      </c>
      <c r="J204" s="10" t="n">
        <v>45668.59888888889</v>
      </c>
      <c r="K204" s="11">
        <f>IF(AND(ISNUMBER(D204),ISNUMBER(E204)),(E204-D204),"")</f>
        <v/>
      </c>
      <c r="L204" s="11">
        <f>IF(AND(ISNUMBER(F204),ISNUMBER(I204)),(I204-F204),"")</f>
        <v/>
      </c>
    </row>
    <row r="205">
      <c r="A205" s="3" t="inlineStr">
        <is>
          <t>1206401</t>
        </is>
      </c>
      <c r="B205" s="3" t="inlineStr">
        <is>
          <t>12064</t>
        </is>
      </c>
      <c r="C205" s="10" t="n">
        <v>45668.525</v>
      </c>
      <c r="D205" s="10" t="n">
        <v>45668.52688657407</v>
      </c>
      <c r="E205" s="10" t="n">
        <v>45668.53383101852</v>
      </c>
      <c r="F205" s="10" t="n">
        <v>45668.53582175926</v>
      </c>
      <c r="G205" s="3" t="inlineStr">
        <is>
          <t>OBT110125130321-Klagenfurt</t>
        </is>
      </c>
      <c r="H205" s="10" t="n">
        <v>45668.54399305556</v>
      </c>
      <c r="I205" s="10" t="n">
        <v>45668.59182870371</v>
      </c>
      <c r="J205" s="10" t="n">
        <v>45668.59255787037</v>
      </c>
      <c r="K205" s="11">
        <f>IF(AND(ISNUMBER(D205),ISNUMBER(E205)),(E205-D205),"")</f>
        <v/>
      </c>
      <c r="L205" s="11">
        <f>IF(AND(ISNUMBER(F205),ISNUMBER(I205)),(I205-F205),"")</f>
        <v/>
      </c>
    </row>
    <row r="206">
      <c r="A206" s="3" t="inlineStr">
        <is>
          <t>1206402</t>
        </is>
      </c>
      <c r="B206" s="3" t="inlineStr">
        <is>
          <t>12064</t>
        </is>
      </c>
      <c r="C206" s="10" t="n">
        <v>45668.525</v>
      </c>
      <c r="D206" s="10" t="n">
        <v>45668.52688657407</v>
      </c>
      <c r="E206" s="10" t="n">
        <v>45668.53582175926</v>
      </c>
      <c r="F206" s="10" t="n">
        <v>45668.53788194444</v>
      </c>
      <c r="G206" s="3" t="inlineStr">
        <is>
          <t>OBT110125130204-Ljubljana</t>
        </is>
      </c>
      <c r="H206" s="10" t="n">
        <v>45668.54310185185</v>
      </c>
      <c r="I206" s="10" t="n">
        <v>45668.56513888889</v>
      </c>
      <c r="J206" s="10" t="n">
        <v>45668.5658912037</v>
      </c>
      <c r="K206" s="11">
        <f>IF(AND(ISNUMBER(D206),ISNUMBER(E206)),(E206-D206),"")</f>
        <v/>
      </c>
      <c r="L206" s="11">
        <f>IF(AND(ISNUMBER(F206),ISNUMBER(I206)),(I206-F206),"")</f>
        <v/>
      </c>
    </row>
    <row r="207">
      <c r="A207" s="3" t="inlineStr">
        <is>
          <t>1206403</t>
        </is>
      </c>
      <c r="B207" s="3" t="inlineStr">
        <is>
          <t>12064</t>
        </is>
      </c>
      <c r="C207" s="10" t="n">
        <v>45668.525</v>
      </c>
      <c r="D207" s="10" t="n">
        <v>45668.52688657407</v>
      </c>
      <c r="E207" s="10" t="n">
        <v>45668.53788194444</v>
      </c>
      <c r="F207" s="10" t="n">
        <v>45668.53990740741</v>
      </c>
      <c r="G207" s="3" t="inlineStr">
        <is>
          <t>OBT120125084207-Klagenfurt</t>
        </is>
      </c>
      <c r="H207" s="10" t="n">
        <v>45669.36258101852</v>
      </c>
      <c r="I207" s="10" t="n">
        <v>45669.39122685185</v>
      </c>
      <c r="J207" s="10" t="n">
        <v>45669.39215277778</v>
      </c>
      <c r="K207" s="11">
        <f>IF(AND(ISNUMBER(D207),ISNUMBER(E207)),(E207-D207),"")</f>
        <v/>
      </c>
      <c r="L207" s="11">
        <f>IF(AND(ISNUMBER(F207),ISNUMBER(I207)),(I207-F207),"")</f>
        <v/>
      </c>
    </row>
    <row r="208">
      <c r="A208" s="3" t="inlineStr">
        <is>
          <t>1206501</t>
        </is>
      </c>
      <c r="B208" s="3" t="inlineStr">
        <is>
          <t>12065</t>
        </is>
      </c>
      <c r="C208" s="10" t="n">
        <v>45668.53611111111</v>
      </c>
      <c r="D208" s="10" t="n">
        <v>45668.53774305555</v>
      </c>
      <c r="E208" s="10" t="n">
        <v>45668.54538194444</v>
      </c>
      <c r="F208" s="10" t="n">
        <v>45668.54681712963</v>
      </c>
      <c r="G208" s="3" t="inlineStr">
        <is>
          <t>OBT110125133600-Ljubljana</t>
        </is>
      </c>
      <c r="H208" s="10" t="n">
        <v>45668.56666666667</v>
      </c>
      <c r="I208" s="10" t="n">
        <v>45668.60175925926</v>
      </c>
      <c r="J208" s="10" t="n">
        <v>45668.60259259259</v>
      </c>
      <c r="K208" s="11">
        <f>IF(AND(ISNUMBER(D208),ISNUMBER(E208)),(E208-D208),"")</f>
        <v/>
      </c>
      <c r="L208" s="11">
        <f>IF(AND(ISNUMBER(F208),ISNUMBER(I208)),(I208-F208),"")</f>
        <v/>
      </c>
    </row>
    <row r="209">
      <c r="A209" s="3" t="inlineStr">
        <is>
          <t>1206502</t>
        </is>
      </c>
      <c r="B209" s="3" t="inlineStr">
        <is>
          <t>12065</t>
        </is>
      </c>
      <c r="C209" s="10" t="n">
        <v>45668.53611111111</v>
      </c>
      <c r="D209" s="10" t="n">
        <v>45668.53774305555</v>
      </c>
      <c r="E209" s="10" t="n">
        <v>45668.54538194444</v>
      </c>
      <c r="F209" s="10" t="n">
        <v>45668.54681712963</v>
      </c>
      <c r="G209" s="3" t="inlineStr">
        <is>
          <t>OBT110125133600-Ljubljana</t>
        </is>
      </c>
      <c r="H209" s="10" t="n">
        <v>45668.56666666667</v>
      </c>
      <c r="I209" s="10" t="n">
        <v>45668.60175925926</v>
      </c>
      <c r="J209" s="10" t="n">
        <v>45668.60259259259</v>
      </c>
      <c r="K209" s="11">
        <f>IF(AND(ISNUMBER(D209),ISNUMBER(E209)),(E209-D209),"")</f>
        <v/>
      </c>
      <c r="L209" s="11">
        <f>IF(AND(ISNUMBER(F209),ISNUMBER(I209)),(I209-F209),"")</f>
        <v/>
      </c>
    </row>
    <row r="210">
      <c r="A210" s="3" t="inlineStr">
        <is>
          <t>1206503</t>
        </is>
      </c>
      <c r="B210" s="3" t="inlineStr">
        <is>
          <t>12065</t>
        </is>
      </c>
      <c r="C210" s="10" t="n">
        <v>45668.53611111111</v>
      </c>
      <c r="D210" s="10" t="n">
        <v>45668.53774305555</v>
      </c>
      <c r="E210" s="10" t="n">
        <v>45668.54681712963</v>
      </c>
      <c r="F210" s="10" t="n">
        <v>45668.54857638889</v>
      </c>
      <c r="G210" s="3" t="inlineStr">
        <is>
          <t>OBT120125104405-Budapest</t>
        </is>
      </c>
      <c r="H210" s="10" t="n">
        <v>45669.44728009259</v>
      </c>
      <c r="I210" s="10" t="n">
        <v>45669.47030092592</v>
      </c>
      <c r="J210" s="10" t="n">
        <v>45669.47113425926</v>
      </c>
      <c r="K210" s="11">
        <f>IF(AND(ISNUMBER(D210),ISNUMBER(E210)),(E210-D210),"")</f>
        <v/>
      </c>
      <c r="L210" s="11">
        <f>IF(AND(ISNUMBER(F210),ISNUMBER(I210)),(I210-F210),"")</f>
        <v/>
      </c>
    </row>
    <row r="211">
      <c r="A211" s="3" t="inlineStr">
        <is>
          <t>1206504</t>
        </is>
      </c>
      <c r="B211" s="3" t="inlineStr">
        <is>
          <t>12065</t>
        </is>
      </c>
      <c r="C211" s="10" t="n">
        <v>45668.53611111111</v>
      </c>
      <c r="D211" s="10" t="n">
        <v>45668.53774305555</v>
      </c>
      <c r="E211" s="10" t="n">
        <v>45668.54857638889</v>
      </c>
      <c r="F211" s="10" t="n">
        <v>45668.54997685185</v>
      </c>
      <c r="G211" s="3" t="inlineStr">
        <is>
          <t>OBT110125133600-Ljubljana</t>
        </is>
      </c>
      <c r="H211" s="10" t="n">
        <v>45668.56666666667</v>
      </c>
      <c r="I211" s="10" t="n">
        <v>45668.60175925926</v>
      </c>
      <c r="J211" s="10" t="n">
        <v>45668.60259259259</v>
      </c>
      <c r="K211" s="11">
        <f>IF(AND(ISNUMBER(D211),ISNUMBER(E211)),(E211-D211),"")</f>
        <v/>
      </c>
      <c r="L211" s="11">
        <f>IF(AND(ISNUMBER(F211),ISNUMBER(I211)),(I211-F211),"")</f>
        <v/>
      </c>
    </row>
    <row r="212">
      <c r="A212" s="3" t="inlineStr">
        <is>
          <t>1206601</t>
        </is>
      </c>
      <c r="B212" s="3" t="inlineStr">
        <is>
          <t>12066</t>
        </is>
      </c>
      <c r="C212" s="10" t="n">
        <v>45668.54444444444</v>
      </c>
      <c r="D212" s="10" t="n">
        <v>45668.54626157408</v>
      </c>
      <c r="E212" s="10" t="n">
        <v>45668.5517824074</v>
      </c>
      <c r="F212" s="10" t="n">
        <v>45668.55346064815</v>
      </c>
      <c r="G212" s="3" t="inlineStr">
        <is>
          <t>OBT110125213155-Vienna</t>
        </is>
      </c>
      <c r="H212" s="10" t="n">
        <v>45668.89716435185</v>
      </c>
      <c r="I212" s="10" t="n">
        <v>45668.91747685185</v>
      </c>
      <c r="J212" s="10" t="n">
        <v>45668.91833333333</v>
      </c>
      <c r="K212" s="11">
        <f>IF(AND(ISNUMBER(D212),ISNUMBER(E212)),(E212-D212),"")</f>
        <v/>
      </c>
      <c r="L212" s="11">
        <f>IF(AND(ISNUMBER(F212),ISNUMBER(I212)),(I212-F212),"")</f>
        <v/>
      </c>
    </row>
    <row r="213">
      <c r="A213" s="3" t="inlineStr">
        <is>
          <t>1206602</t>
        </is>
      </c>
      <c r="B213" s="3" t="inlineStr">
        <is>
          <t>12066</t>
        </is>
      </c>
      <c r="C213" s="10" t="n">
        <v>45668.54444444444</v>
      </c>
      <c r="D213" s="10" t="n">
        <v>45668.54626157408</v>
      </c>
      <c r="E213" s="10" t="n">
        <v>45668.55346064815</v>
      </c>
      <c r="F213" s="10" t="n">
        <v>45668.55503472222</v>
      </c>
      <c r="G213" s="3" t="inlineStr">
        <is>
          <t>OBT120125095853-Linz</t>
        </is>
      </c>
      <c r="H213" s="10" t="n">
        <v>45669.4158912037</v>
      </c>
      <c r="I213" s="10" t="n">
        <v>45669.43890046296</v>
      </c>
      <c r="J213" s="10" t="n">
        <v>45669.43973379629</v>
      </c>
      <c r="K213" s="11">
        <f>IF(AND(ISNUMBER(D213),ISNUMBER(E213)),(E213-D213),"")</f>
        <v/>
      </c>
      <c r="L213" s="11">
        <f>IF(AND(ISNUMBER(F213),ISNUMBER(I213)),(I213-F213),"")</f>
        <v/>
      </c>
    </row>
    <row r="214">
      <c r="A214" s="3" t="inlineStr">
        <is>
          <t>1206701</t>
        </is>
      </c>
      <c r="B214" s="3" t="inlineStr">
        <is>
          <t>12067</t>
        </is>
      </c>
      <c r="C214" s="10" t="n">
        <v>45668.75</v>
      </c>
      <c r="D214" s="10" t="n">
        <v>45668.75177083333</v>
      </c>
      <c r="E214" s="10" t="n">
        <v>45668.75693287037</v>
      </c>
      <c r="F214" s="10" t="n">
        <v>45668.75869212963</v>
      </c>
      <c r="G214" s="3" t="inlineStr">
        <is>
          <t>OBT110125215724-Graz</t>
        </is>
      </c>
      <c r="H214" s="10" t="n">
        <v>45668.91486111111</v>
      </c>
      <c r="I214" s="10" t="n">
        <v>45668.96015046296</v>
      </c>
      <c r="J214" s="10" t="n">
        <v>45668.96125</v>
      </c>
      <c r="K214" s="11">
        <f>IF(AND(ISNUMBER(D214),ISNUMBER(E214)),(E214-D214),"")</f>
        <v/>
      </c>
      <c r="L214" s="11">
        <f>IF(AND(ISNUMBER(F214),ISNUMBER(I214)),(I214-F214),"")</f>
        <v/>
      </c>
    </row>
    <row r="215">
      <c r="A215" s="3" t="inlineStr">
        <is>
          <t>1206702</t>
        </is>
      </c>
      <c r="B215" s="3" t="inlineStr">
        <is>
          <t>12067</t>
        </is>
      </c>
      <c r="C215" s="10" t="n">
        <v>45668.75</v>
      </c>
      <c r="D215" s="10" t="n">
        <v>45668.75177083333</v>
      </c>
      <c r="E215" s="10" t="n">
        <v>45668.75869212963</v>
      </c>
      <c r="F215" s="10" t="n">
        <v>45668.75993055556</v>
      </c>
      <c r="G215" s="3" t="inlineStr">
        <is>
          <t>OBT120125083654-Innsbruck</t>
        </is>
      </c>
      <c r="H215" s="10" t="n">
        <v>45669.35895833333</v>
      </c>
      <c r="I215" s="10" t="n">
        <v>45669.38479166666</v>
      </c>
      <c r="J215" s="10" t="n">
        <v>45669.38559027778</v>
      </c>
      <c r="K215" s="11">
        <f>IF(AND(ISNUMBER(D215),ISNUMBER(E215)),(E215-D215),"")</f>
        <v/>
      </c>
      <c r="L215" s="11">
        <f>IF(AND(ISNUMBER(F215),ISNUMBER(I215)),(I215-F215),"")</f>
        <v/>
      </c>
    </row>
    <row r="216">
      <c r="A216" s="3" t="inlineStr">
        <is>
          <t>1206801</t>
        </is>
      </c>
      <c r="B216" s="3" t="inlineStr">
        <is>
          <t>12068</t>
        </is>
      </c>
      <c r="C216" s="10" t="n">
        <v>45668.875</v>
      </c>
      <c r="D216" s="10" t="n">
        <v>45668.87729166666</v>
      </c>
      <c r="E216" s="10" t="n">
        <v>45668.88576388889</v>
      </c>
      <c r="F216" s="10" t="n">
        <v>45668.88748842593</v>
      </c>
      <c r="G216" s="3" t="inlineStr">
        <is>
          <t>OBT110125213155-Vienna</t>
        </is>
      </c>
      <c r="H216" s="10" t="n">
        <v>45668.89716435185</v>
      </c>
      <c r="I216" s="10" t="n">
        <v>45668.91747685185</v>
      </c>
      <c r="J216" s="10" t="n">
        <v>45668.91833333333</v>
      </c>
      <c r="K216" s="11">
        <f>IF(AND(ISNUMBER(D216),ISNUMBER(E216)),(E216-D216),"")</f>
        <v/>
      </c>
      <c r="L216" s="11">
        <f>IF(AND(ISNUMBER(F216),ISNUMBER(I216)),(I216-F216),"")</f>
        <v/>
      </c>
    </row>
    <row r="217">
      <c r="A217" s="3" t="inlineStr">
        <is>
          <t>1206802</t>
        </is>
      </c>
      <c r="B217" s="3" t="inlineStr">
        <is>
          <t>12068</t>
        </is>
      </c>
      <c r="C217" s="10" t="n">
        <v>45668.875</v>
      </c>
      <c r="D217" s="10" t="n">
        <v>45668.87729166666</v>
      </c>
      <c r="E217" s="10" t="n">
        <v>45668.88748842593</v>
      </c>
      <c r="F217" s="10" t="n">
        <v>45668.88954861111</v>
      </c>
      <c r="G217" s="3" t="inlineStr">
        <is>
          <t>OBT110125215724-Graz</t>
        </is>
      </c>
      <c r="H217" s="10" t="n">
        <v>45668.91486111111</v>
      </c>
      <c r="I217" s="10" t="n">
        <v>45668.96015046296</v>
      </c>
      <c r="J217" s="10" t="n">
        <v>45668.96125</v>
      </c>
      <c r="K217" s="11">
        <f>IF(AND(ISNUMBER(D217),ISNUMBER(E217)),(E217-D217),"")</f>
        <v/>
      </c>
      <c r="L217" s="11">
        <f>IF(AND(ISNUMBER(F217),ISNUMBER(I217)),(I217-F217),"")</f>
        <v/>
      </c>
    </row>
    <row r="218">
      <c r="A218" s="3" t="inlineStr">
        <is>
          <t>1206803</t>
        </is>
      </c>
      <c r="B218" s="3" t="inlineStr">
        <is>
          <t>12068</t>
        </is>
      </c>
      <c r="C218" s="10" t="n">
        <v>45668.875</v>
      </c>
      <c r="D218" s="10" t="n">
        <v>45668.87729166666</v>
      </c>
      <c r="E218" s="10" t="n">
        <v>45668.88748842593</v>
      </c>
      <c r="F218" s="10" t="n">
        <v>45668.88954861111</v>
      </c>
      <c r="G218" s="3" t="inlineStr">
        <is>
          <t>OBT110125215724-Graz</t>
        </is>
      </c>
      <c r="H218" s="10" t="n">
        <v>45668.91486111111</v>
      </c>
      <c r="I218" s="10" t="n">
        <v>45668.96015046296</v>
      </c>
      <c r="J218" s="10" t="n">
        <v>45668.96125</v>
      </c>
      <c r="K218" s="11">
        <f>IF(AND(ISNUMBER(D218),ISNUMBER(E218)),(E218-D218),"")</f>
        <v/>
      </c>
      <c r="L218" s="11">
        <f>IF(AND(ISNUMBER(F218),ISNUMBER(I218)),(I218-F218),"")</f>
        <v/>
      </c>
    </row>
    <row r="219">
      <c r="A219" s="3" t="inlineStr">
        <is>
          <t>1206804</t>
        </is>
      </c>
      <c r="B219" s="3" t="inlineStr">
        <is>
          <t>12068</t>
        </is>
      </c>
      <c r="C219" s="10" t="n">
        <v>45668.875</v>
      </c>
      <c r="D219" s="10" t="n">
        <v>45668.87729166666</v>
      </c>
      <c r="E219" s="10" t="n">
        <v>45668.88748842593</v>
      </c>
      <c r="F219" s="10" t="n">
        <v>45668.88954861111</v>
      </c>
      <c r="G219" s="3" t="inlineStr">
        <is>
          <t>OBT110125215724-Graz</t>
        </is>
      </c>
      <c r="H219" s="10" t="n">
        <v>45668.91486111111</v>
      </c>
      <c r="I219" s="10" t="n">
        <v>45668.96015046296</v>
      </c>
      <c r="J219" s="10" t="n">
        <v>45668.96125</v>
      </c>
      <c r="K219" s="11">
        <f>IF(AND(ISNUMBER(D219),ISNUMBER(E219)),(E219-D219),"")</f>
        <v/>
      </c>
      <c r="L219" s="11">
        <f>IF(AND(ISNUMBER(F219),ISNUMBER(I219)),(I219-F219),"")</f>
        <v/>
      </c>
    </row>
    <row r="220">
      <c r="A220" s="3" t="inlineStr">
        <is>
          <t>1206805</t>
        </is>
      </c>
      <c r="B220" s="3" t="inlineStr">
        <is>
          <t>12068</t>
        </is>
      </c>
      <c r="C220" s="10" t="n">
        <v>45668.875</v>
      </c>
      <c r="D220" s="10" t="n">
        <v>45668.87729166666</v>
      </c>
      <c r="E220" s="10" t="n">
        <v>45668.88954861111</v>
      </c>
      <c r="F220" s="10" t="n">
        <v>45668.89097222222</v>
      </c>
      <c r="G220" s="3" t="inlineStr">
        <is>
          <t>OBT120125121725-Ljubljana</t>
        </is>
      </c>
      <c r="H220" s="10" t="n">
        <v>45669.5120949074</v>
      </c>
      <c r="I220" s="10" t="n">
        <v>45669.53793981481</v>
      </c>
      <c r="J220" s="10" t="n">
        <v>45669.53870370371</v>
      </c>
      <c r="K220" s="11">
        <f>IF(AND(ISNUMBER(D220),ISNUMBER(E220)),(E220-D220),"")</f>
        <v/>
      </c>
      <c r="L220" s="11">
        <f>IF(AND(ISNUMBER(F220),ISNUMBER(I220)),(I220-F220),"")</f>
        <v/>
      </c>
    </row>
    <row r="221">
      <c r="A221" s="3" t="inlineStr">
        <is>
          <t>1206901</t>
        </is>
      </c>
      <c r="B221" s="3" t="inlineStr">
        <is>
          <t>12069</t>
        </is>
      </c>
      <c r="C221" s="10" t="n">
        <v>45668.97916666666</v>
      </c>
      <c r="D221" s="10" t="n">
        <v>45668.98112268518</v>
      </c>
      <c r="E221" s="10" t="n">
        <v>45668.98686342593</v>
      </c>
      <c r="F221" s="10" t="n">
        <v>45668.98903935185</v>
      </c>
      <c r="G221" s="3" t="inlineStr">
        <is>
          <t>OBT120125000412-Salzburg</t>
        </is>
      </c>
      <c r="H221" s="10" t="n">
        <v>45669.00291666666</v>
      </c>
      <c r="I221" s="10" t="n">
        <v>45669.02598379629</v>
      </c>
      <c r="J221" s="10" t="n">
        <v>45669.02666666666</v>
      </c>
      <c r="K221" s="11">
        <f>IF(AND(ISNUMBER(D221),ISNUMBER(E221)),(E221-D221),"")</f>
        <v/>
      </c>
      <c r="L221" s="11">
        <f>IF(AND(ISNUMBER(F221),ISNUMBER(I221)),(I221-F221),"")</f>
        <v/>
      </c>
    </row>
    <row r="222">
      <c r="A222" s="3" t="inlineStr">
        <is>
          <t>1206902</t>
        </is>
      </c>
      <c r="B222" s="3" t="inlineStr">
        <is>
          <t>12069</t>
        </is>
      </c>
      <c r="C222" s="10" t="n">
        <v>45668.97916666666</v>
      </c>
      <c r="D222" s="10" t="n">
        <v>45668.98112268518</v>
      </c>
      <c r="E222" s="10" t="n">
        <v>45668.98686342593</v>
      </c>
      <c r="F222" s="10" t="n">
        <v>45668.98903935185</v>
      </c>
      <c r="G222" s="3" t="inlineStr">
        <is>
          <t>OBT120125000412-Salzburg</t>
        </is>
      </c>
      <c r="H222" s="10" t="n">
        <v>45669.00291666666</v>
      </c>
      <c r="I222" s="10" t="n">
        <v>45669.02598379629</v>
      </c>
      <c r="J222" s="10" t="n">
        <v>45669.02666666666</v>
      </c>
      <c r="K222" s="11">
        <f>IF(AND(ISNUMBER(D222),ISNUMBER(E222)),(E222-D222),"")</f>
        <v/>
      </c>
      <c r="L222" s="11">
        <f>IF(AND(ISNUMBER(F222),ISNUMBER(I222)),(I222-F222),"")</f>
        <v/>
      </c>
    </row>
    <row r="223">
      <c r="A223" s="3" t="inlineStr">
        <is>
          <t>1206903</t>
        </is>
      </c>
      <c r="B223" s="3" t="inlineStr">
        <is>
          <t>12069</t>
        </is>
      </c>
      <c r="C223" s="10" t="n">
        <v>45668.97916666666</v>
      </c>
      <c r="D223" s="10" t="n">
        <v>45668.98112268518</v>
      </c>
      <c r="E223" s="10" t="n">
        <v>45668.98903935185</v>
      </c>
      <c r="F223" s="10" t="n">
        <v>45668.99109953704</v>
      </c>
      <c r="G223" s="3" t="inlineStr">
        <is>
          <t>OBT120125194018-Vienna</t>
        </is>
      </c>
      <c r="H223" s="10" t="n">
        <v>45669.81965277778</v>
      </c>
      <c r="I223" s="10" t="n">
        <v>45669.85385416666</v>
      </c>
      <c r="J223" s="10" t="n">
        <v>45669.85479166666</v>
      </c>
      <c r="K223" s="11">
        <f>IF(AND(ISNUMBER(D223),ISNUMBER(E223)),(E223-D223),"")</f>
        <v/>
      </c>
      <c r="L223" s="11">
        <f>IF(AND(ISNUMBER(F223),ISNUMBER(I223)),(I223-F223),"")</f>
        <v/>
      </c>
    </row>
    <row r="224">
      <c r="A224" s="3" t="inlineStr">
        <is>
          <t>1207001</t>
        </is>
      </c>
      <c r="B224" s="3" t="inlineStr">
        <is>
          <t>12070</t>
        </is>
      </c>
      <c r="C224" s="10" t="n">
        <v>45669.33333333334</v>
      </c>
      <c r="D224" s="10" t="n">
        <v>45669.33540509259</v>
      </c>
      <c r="E224" s="10" t="n">
        <v>45669.34418981482</v>
      </c>
      <c r="F224" s="10" t="n">
        <v>45669.34618055556</v>
      </c>
      <c r="G224" s="3" t="inlineStr">
        <is>
          <t>OBT120125084207-Klagenfurt</t>
        </is>
      </c>
      <c r="H224" s="10" t="n">
        <v>45669.36258101852</v>
      </c>
      <c r="I224" s="10" t="n">
        <v>45669.39122685185</v>
      </c>
      <c r="J224" s="10" t="n">
        <v>45669.39215277778</v>
      </c>
      <c r="K224" s="11">
        <f>IF(AND(ISNUMBER(D224),ISNUMBER(E224)),(E224-D224),"")</f>
        <v/>
      </c>
      <c r="L224" s="11">
        <f>IF(AND(ISNUMBER(F224),ISNUMBER(I224)),(I224-F224),"")</f>
        <v/>
      </c>
    </row>
    <row r="225">
      <c r="A225" s="3" t="inlineStr">
        <is>
          <t>1207002</t>
        </is>
      </c>
      <c r="B225" s="3" t="inlineStr">
        <is>
          <t>12070</t>
        </is>
      </c>
      <c r="C225" s="10" t="n">
        <v>45669.33333333334</v>
      </c>
      <c r="D225" s="10" t="n">
        <v>45669.33540509259</v>
      </c>
      <c r="E225" s="10" t="n">
        <v>45669.34618055556</v>
      </c>
      <c r="F225" s="10" t="n">
        <v>45669.34741898148</v>
      </c>
      <c r="G225" s="3" t="inlineStr">
        <is>
          <t>OBT120125083654-Innsbruck</t>
        </is>
      </c>
      <c r="H225" s="10" t="n">
        <v>45669.35895833333</v>
      </c>
      <c r="I225" s="10" t="n">
        <v>45669.38479166666</v>
      </c>
      <c r="J225" s="10" t="n">
        <v>45669.38559027778</v>
      </c>
      <c r="K225" s="11">
        <f>IF(AND(ISNUMBER(D225),ISNUMBER(E225)),(E225-D225),"")</f>
        <v/>
      </c>
      <c r="L225" s="11">
        <f>IF(AND(ISNUMBER(F225),ISNUMBER(I225)),(I225-F225),"")</f>
        <v/>
      </c>
    </row>
    <row r="226">
      <c r="A226" s="3" t="inlineStr">
        <is>
          <t>1207003</t>
        </is>
      </c>
      <c r="B226" s="3" t="inlineStr">
        <is>
          <t>12070</t>
        </is>
      </c>
      <c r="C226" s="10" t="n">
        <v>45669.33333333334</v>
      </c>
      <c r="D226" s="10" t="n">
        <v>45669.33540509259</v>
      </c>
      <c r="E226" s="10" t="n">
        <v>45669.34741898148</v>
      </c>
      <c r="F226" s="10" t="n">
        <v>45669.34951388889</v>
      </c>
      <c r="G226" s="3" t="inlineStr">
        <is>
          <t>OBT120125084207-Klagenfurt</t>
        </is>
      </c>
      <c r="H226" s="10" t="n">
        <v>45669.36258101852</v>
      </c>
      <c r="I226" s="10" t="n">
        <v>45669.39122685185</v>
      </c>
      <c r="J226" s="10" t="n">
        <v>45669.39215277778</v>
      </c>
      <c r="K226" s="11">
        <f>IF(AND(ISNUMBER(D226),ISNUMBER(E226)),(E226-D226),"")</f>
        <v/>
      </c>
      <c r="L226" s="11">
        <f>IF(AND(ISNUMBER(F226),ISNUMBER(I226)),(I226-F226),"")</f>
        <v/>
      </c>
    </row>
    <row r="227">
      <c r="A227" s="3" t="inlineStr">
        <is>
          <t>1207004</t>
        </is>
      </c>
      <c r="B227" s="3" t="inlineStr">
        <is>
          <t>12070</t>
        </is>
      </c>
      <c r="C227" s="10" t="n">
        <v>45669.33333333334</v>
      </c>
      <c r="D227" s="10" t="n">
        <v>45669.33540509259</v>
      </c>
      <c r="E227" s="10" t="n">
        <v>45669.34741898148</v>
      </c>
      <c r="F227" s="10" t="n">
        <v>45669.34951388889</v>
      </c>
      <c r="G227" s="3" t="inlineStr">
        <is>
          <t>OBT120125084207-Klagenfurt</t>
        </is>
      </c>
      <c r="H227" s="10" t="n">
        <v>45669.36258101852</v>
      </c>
      <c r="I227" s="10" t="n">
        <v>45669.39122685185</v>
      </c>
      <c r="J227" s="10" t="n">
        <v>45669.39215277778</v>
      </c>
      <c r="K227" s="11">
        <f>IF(AND(ISNUMBER(D227),ISNUMBER(E227)),(E227-D227),"")</f>
        <v/>
      </c>
      <c r="L227" s="11">
        <f>IF(AND(ISNUMBER(F227),ISNUMBER(I227)),(I227-F227),"")</f>
        <v/>
      </c>
    </row>
    <row r="228">
      <c r="A228" s="3" t="inlineStr">
        <is>
          <t>1207005</t>
        </is>
      </c>
      <c r="B228" s="3" t="inlineStr">
        <is>
          <t>12070</t>
        </is>
      </c>
      <c r="C228" s="10" t="n">
        <v>45669.33333333334</v>
      </c>
      <c r="D228" s="10" t="n">
        <v>45669.33540509259</v>
      </c>
      <c r="E228" s="10" t="n">
        <v>45669.34951388889</v>
      </c>
      <c r="F228" s="10" t="n">
        <v>45669.35075231481</v>
      </c>
      <c r="G228" s="3" t="inlineStr">
        <is>
          <t>OBT120125083654-Innsbruck</t>
        </is>
      </c>
      <c r="H228" s="10" t="n">
        <v>45669.35895833333</v>
      </c>
      <c r="I228" s="10" t="n">
        <v>45669.38479166666</v>
      </c>
      <c r="J228" s="10" t="n">
        <v>45669.38559027778</v>
      </c>
      <c r="K228" s="11">
        <f>IF(AND(ISNUMBER(D228),ISNUMBER(E228)),(E228-D228),"")</f>
        <v/>
      </c>
      <c r="L228" s="11">
        <f>IF(AND(ISNUMBER(F228),ISNUMBER(I228)),(I228-F228),"")</f>
        <v/>
      </c>
    </row>
    <row r="229">
      <c r="A229" s="3" t="inlineStr">
        <is>
          <t>1207101</t>
        </is>
      </c>
      <c r="B229" s="3" t="inlineStr">
        <is>
          <t>12071</t>
        </is>
      </c>
      <c r="C229" s="10" t="n">
        <v>45669.39236111111</v>
      </c>
      <c r="D229" s="10" t="n">
        <v>45669.39436342593</v>
      </c>
      <c r="E229" s="10" t="n">
        <v>45669.40114583333</v>
      </c>
      <c r="F229" s="10" t="n">
        <v>45669.40280092593</v>
      </c>
      <c r="G229" s="3" t="inlineStr">
        <is>
          <t>OBT120125095853-Linz</t>
        </is>
      </c>
      <c r="H229" s="10" t="n">
        <v>45669.4158912037</v>
      </c>
      <c r="I229" s="10" t="n">
        <v>45669.43890046296</v>
      </c>
      <c r="J229" s="10" t="n">
        <v>45669.43973379629</v>
      </c>
      <c r="K229" s="11">
        <f>IF(AND(ISNUMBER(D229),ISNUMBER(E229)),(E229-D229),"")</f>
        <v/>
      </c>
      <c r="L229" s="11">
        <f>IF(AND(ISNUMBER(F229),ISNUMBER(I229)),(I229-F229),"")</f>
        <v/>
      </c>
    </row>
    <row r="230">
      <c r="A230" s="3" t="inlineStr">
        <is>
          <t>1207102</t>
        </is>
      </c>
      <c r="B230" s="3" t="inlineStr">
        <is>
          <t>12071</t>
        </is>
      </c>
      <c r="C230" s="10" t="n">
        <v>45669.39236111111</v>
      </c>
      <c r="D230" s="10" t="n">
        <v>45669.39436342593</v>
      </c>
      <c r="E230" s="10" t="n">
        <v>45669.40280092593</v>
      </c>
      <c r="F230" s="10" t="n">
        <v>45669.40489583334</v>
      </c>
      <c r="G230" s="3" t="inlineStr">
        <is>
          <t>OBT120125194018-Vienna</t>
        </is>
      </c>
      <c r="H230" s="10" t="n">
        <v>45669.81965277778</v>
      </c>
      <c r="I230" s="10" t="n">
        <v>45669.85385416666</v>
      </c>
      <c r="J230" s="10" t="n">
        <v>45669.85479166666</v>
      </c>
      <c r="K230" s="11">
        <f>IF(AND(ISNUMBER(D230),ISNUMBER(E230)),(E230-D230),"")</f>
        <v/>
      </c>
      <c r="L230" s="11">
        <f>IF(AND(ISNUMBER(F230),ISNUMBER(I230)),(I230-F230),"")</f>
        <v/>
      </c>
    </row>
    <row r="231">
      <c r="A231" s="3" t="inlineStr">
        <is>
          <t>1207103</t>
        </is>
      </c>
      <c r="B231" s="3" t="inlineStr">
        <is>
          <t>12071</t>
        </is>
      </c>
      <c r="C231" s="10" t="n">
        <v>45669.39236111111</v>
      </c>
      <c r="D231" s="10" t="n">
        <v>45669.39436342593</v>
      </c>
      <c r="E231" s="10" t="n">
        <v>45669.40489583334</v>
      </c>
      <c r="F231" s="10" t="n">
        <v>45669.40613425926</v>
      </c>
      <c r="G231" s="3" t="n"/>
      <c r="H231" s="10" t="n"/>
      <c r="I231" s="10" t="n"/>
      <c r="J231" s="10" t="n"/>
      <c r="K231" s="11">
        <f>IF(AND(ISNUMBER(D231),ISNUMBER(E231)),(E231-D231),"")</f>
        <v/>
      </c>
      <c r="L231" s="11">
        <f>IF(AND(ISNUMBER(F231),ISNUMBER(I231)),(I231-F231),"")</f>
        <v/>
      </c>
    </row>
    <row r="232">
      <c r="A232" s="3" t="inlineStr">
        <is>
          <t>1207201</t>
        </is>
      </c>
      <c r="B232" s="3" t="inlineStr">
        <is>
          <t>12072</t>
        </is>
      </c>
      <c r="C232" s="10" t="n">
        <v>45669.42222222222</v>
      </c>
      <c r="D232" s="10" t="n">
        <v>45669.42410879629</v>
      </c>
      <c r="E232" s="10" t="n">
        <v>45669.43105324074</v>
      </c>
      <c r="F232" s="10" t="n">
        <v>45669.43284722222</v>
      </c>
      <c r="G232" s="3" t="inlineStr">
        <is>
          <t>OBT120125104405-Budapest</t>
        </is>
      </c>
      <c r="H232" s="10" t="n">
        <v>45669.44728009259</v>
      </c>
      <c r="I232" s="10" t="n">
        <v>45669.47030092592</v>
      </c>
      <c r="J232" s="10" t="n">
        <v>45669.47113425926</v>
      </c>
      <c r="K232" s="11">
        <f>IF(AND(ISNUMBER(D232),ISNUMBER(E232)),(E232-D232),"")</f>
        <v/>
      </c>
      <c r="L232" s="11">
        <f>IF(AND(ISNUMBER(F232),ISNUMBER(I232)),(I232-F232),"")</f>
        <v/>
      </c>
    </row>
    <row r="233">
      <c r="A233" s="3" t="inlineStr">
        <is>
          <t>1207202</t>
        </is>
      </c>
      <c r="B233" s="3" t="inlineStr">
        <is>
          <t>12072</t>
        </is>
      </c>
      <c r="C233" s="10" t="n">
        <v>45669.42222222222</v>
      </c>
      <c r="D233" s="10" t="n">
        <v>45669.42410879629</v>
      </c>
      <c r="E233" s="10" t="n">
        <v>45669.43284722222</v>
      </c>
      <c r="F233" s="10" t="n">
        <v>45669.43479166667</v>
      </c>
      <c r="G233" s="3" t="n"/>
      <c r="H233" s="10" t="n"/>
      <c r="I233" s="10" t="n"/>
      <c r="J233" s="10" t="n"/>
      <c r="K233" s="11">
        <f>IF(AND(ISNUMBER(D233),ISNUMBER(E233)),(E233-D233),"")</f>
        <v/>
      </c>
      <c r="L233" s="11">
        <f>IF(AND(ISNUMBER(F233),ISNUMBER(I233)),(I233-F233),"")</f>
        <v/>
      </c>
    </row>
    <row r="234">
      <c r="A234" s="3" t="inlineStr">
        <is>
          <t>1207203</t>
        </is>
      </c>
      <c r="B234" s="3" t="inlineStr">
        <is>
          <t>12072</t>
        </is>
      </c>
      <c r="C234" s="10" t="n">
        <v>45669.42222222222</v>
      </c>
      <c r="D234" s="10" t="n">
        <v>45669.42410879629</v>
      </c>
      <c r="E234" s="10" t="n">
        <v>45669.43479166667</v>
      </c>
      <c r="F234" s="10" t="n">
        <v>45669.43665509259</v>
      </c>
      <c r="G234" s="3" t="inlineStr">
        <is>
          <t>OBT120125104405-Budapest</t>
        </is>
      </c>
      <c r="H234" s="10" t="n">
        <v>45669.44728009259</v>
      </c>
      <c r="I234" s="10" t="n">
        <v>45669.47030092592</v>
      </c>
      <c r="J234" s="10" t="n">
        <v>45669.47113425926</v>
      </c>
      <c r="K234" s="11">
        <f>IF(AND(ISNUMBER(D234),ISNUMBER(E234)),(E234-D234),"")</f>
        <v/>
      </c>
      <c r="L234" s="11">
        <f>IF(AND(ISNUMBER(F234),ISNUMBER(I234)),(I234-F234),"")</f>
        <v/>
      </c>
    </row>
    <row r="235">
      <c r="A235" s="3" t="inlineStr">
        <is>
          <t>1207301</t>
        </is>
      </c>
      <c r="B235" s="3" t="inlineStr">
        <is>
          <t>12073</t>
        </is>
      </c>
      <c r="C235" s="10" t="n">
        <v>45669.45763888889</v>
      </c>
      <c r="D235" s="10" t="n">
        <v>45669.45964120371</v>
      </c>
      <c r="E235" s="10" t="n">
        <v>45669.46642361111</v>
      </c>
      <c r="F235" s="10" t="n">
        <v>45669.46829861111</v>
      </c>
      <c r="G235" s="3" t="inlineStr">
        <is>
          <t>OBT120125113345-Salzburg</t>
        </is>
      </c>
      <c r="H235" s="10" t="n">
        <v>45669.48177083334</v>
      </c>
      <c r="I235" s="10" t="n">
        <v>45669.50761574074</v>
      </c>
      <c r="J235" s="10" t="n">
        <v>45669.50854166667</v>
      </c>
      <c r="K235" s="11">
        <f>IF(AND(ISNUMBER(D235),ISNUMBER(E235)),(E235-D235),"")</f>
        <v/>
      </c>
      <c r="L235" s="11">
        <f>IF(AND(ISNUMBER(F235),ISNUMBER(I235)),(I235-F235),"")</f>
        <v/>
      </c>
    </row>
    <row r="236">
      <c r="A236" s="3" t="inlineStr">
        <is>
          <t>1207302</t>
        </is>
      </c>
      <c r="B236" s="3" t="inlineStr">
        <is>
          <t>12073</t>
        </is>
      </c>
      <c r="C236" s="10" t="n">
        <v>45669.45763888889</v>
      </c>
      <c r="D236" s="10" t="n">
        <v>45669.45964120371</v>
      </c>
      <c r="E236" s="10" t="n">
        <v>45669.46829861111</v>
      </c>
      <c r="F236" s="10" t="n">
        <v>45669.47025462963</v>
      </c>
      <c r="G236" s="3" t="n"/>
      <c r="H236" s="10" t="n"/>
      <c r="I236" s="10" t="n"/>
      <c r="J236" s="10" t="n"/>
      <c r="K236" s="11">
        <f>IF(AND(ISNUMBER(D236),ISNUMBER(E236)),(E236-D236),"")</f>
        <v/>
      </c>
      <c r="L236" s="11">
        <f>IF(AND(ISNUMBER(F236),ISNUMBER(I236)),(I236-F236),"")</f>
        <v/>
      </c>
    </row>
    <row r="237">
      <c r="A237" s="3" t="inlineStr">
        <is>
          <t>1207303</t>
        </is>
      </c>
      <c r="B237" s="3" t="inlineStr">
        <is>
          <t>12073</t>
        </is>
      </c>
      <c r="C237" s="10" t="n">
        <v>45669.45763888889</v>
      </c>
      <c r="D237" s="10" t="n">
        <v>45669.45964120371</v>
      </c>
      <c r="E237" s="10" t="n">
        <v>45669.47025462963</v>
      </c>
      <c r="F237" s="10" t="n">
        <v>45669.47208333333</v>
      </c>
      <c r="G237" s="3" t="inlineStr">
        <is>
          <t>OBT120125113345-Salzburg</t>
        </is>
      </c>
      <c r="H237" s="10" t="n">
        <v>45669.48177083334</v>
      </c>
      <c r="I237" s="10" t="n">
        <v>45669.50761574074</v>
      </c>
      <c r="J237" s="10" t="n">
        <v>45669.50854166667</v>
      </c>
      <c r="K237" s="11">
        <f>IF(AND(ISNUMBER(D237),ISNUMBER(E237)),(E237-D237),"")</f>
        <v/>
      </c>
      <c r="L237" s="11">
        <f>IF(AND(ISNUMBER(F237),ISNUMBER(I237)),(I237-F237),"")</f>
        <v/>
      </c>
    </row>
    <row r="238">
      <c r="A238" s="3" t="inlineStr">
        <is>
          <t>1207401</t>
        </is>
      </c>
      <c r="B238" s="3" t="inlineStr">
        <is>
          <t>12074</t>
        </is>
      </c>
      <c r="C238" s="10" t="n">
        <v>45669.49166666667</v>
      </c>
      <c r="D238" s="10" t="n">
        <v>45669.49366898148</v>
      </c>
      <c r="E238" s="10" t="n">
        <v>45669.50103009259</v>
      </c>
      <c r="F238" s="10" t="n">
        <v>45669.50240740741</v>
      </c>
      <c r="G238" s="3" t="inlineStr">
        <is>
          <t>OBT120125121725-Ljubljana</t>
        </is>
      </c>
      <c r="H238" s="10" t="n">
        <v>45669.5120949074</v>
      </c>
      <c r="I238" s="10" t="n">
        <v>45669.53793981481</v>
      </c>
      <c r="J238" s="10" t="n">
        <v>45669.53870370371</v>
      </c>
      <c r="K238" s="11">
        <f>IF(AND(ISNUMBER(D238),ISNUMBER(E238)),(E238-D238),"")</f>
        <v/>
      </c>
      <c r="L238" s="11">
        <f>IF(AND(ISNUMBER(F238),ISNUMBER(I238)),(I238-F238),"")</f>
        <v/>
      </c>
    </row>
    <row r="239">
      <c r="A239" s="3" t="inlineStr">
        <is>
          <t>1207402</t>
        </is>
      </c>
      <c r="B239" s="3" t="inlineStr">
        <is>
          <t>12074</t>
        </is>
      </c>
      <c r="C239" s="10" t="n">
        <v>45669.49166666667</v>
      </c>
      <c r="D239" s="10" t="n">
        <v>45669.49366898148</v>
      </c>
      <c r="E239" s="10" t="n">
        <v>45669.50240740741</v>
      </c>
      <c r="F239" s="10" t="n">
        <v>45669.50423611111</v>
      </c>
      <c r="G239" s="3" t="n"/>
      <c r="H239" s="10" t="n"/>
      <c r="I239" s="10" t="n"/>
      <c r="J239" s="10" t="n"/>
      <c r="K239" s="11">
        <f>IF(AND(ISNUMBER(D239),ISNUMBER(E239)),(E239-D239),"")</f>
        <v/>
      </c>
      <c r="L239" s="11">
        <f>IF(AND(ISNUMBER(F239),ISNUMBER(I239)),(I239-F239),"")</f>
        <v/>
      </c>
    </row>
    <row r="240">
      <c r="A240" s="3" t="inlineStr">
        <is>
          <t>1207403</t>
        </is>
      </c>
      <c r="B240" s="3" t="inlineStr">
        <is>
          <t>12074</t>
        </is>
      </c>
      <c r="C240" s="10" t="n">
        <v>45669.49166666667</v>
      </c>
      <c r="D240" s="10" t="n">
        <v>45669.49366898148</v>
      </c>
      <c r="E240" s="10" t="n">
        <v>45669.50423611111</v>
      </c>
      <c r="F240" s="10" t="n">
        <v>45669.50630787037</v>
      </c>
      <c r="G240" s="3" t="inlineStr">
        <is>
          <t>OBT120125162654-Ljubljana</t>
        </is>
      </c>
      <c r="H240" s="10" t="n">
        <v>45669.68534722222</v>
      </c>
      <c r="I240" s="10" t="n">
        <v>45669.70565972223</v>
      </c>
      <c r="J240" s="10" t="n">
        <v>45669.70646990741</v>
      </c>
      <c r="K240" s="11">
        <f>IF(AND(ISNUMBER(D240),ISNUMBER(E240)),(E240-D240),"")</f>
        <v/>
      </c>
      <c r="L240" s="11">
        <f>IF(AND(ISNUMBER(F240),ISNUMBER(I240)),(I240-F240),"")</f>
        <v/>
      </c>
    </row>
    <row r="241">
      <c r="A241" s="3" t="inlineStr">
        <is>
          <t>1207501</t>
        </is>
      </c>
      <c r="B241" s="3" t="inlineStr">
        <is>
          <t>12075</t>
        </is>
      </c>
      <c r="C241" s="10" t="n">
        <v>45669.66666666666</v>
      </c>
      <c r="D241" s="10" t="n">
        <v>45669.66858796297</v>
      </c>
      <c r="E241" s="10" t="n">
        <v>45669.67515046296</v>
      </c>
      <c r="F241" s="10" t="n">
        <v>45669.67717592593</v>
      </c>
      <c r="G241" s="3" t="inlineStr">
        <is>
          <t>OBT120125162654-Ljubljana</t>
        </is>
      </c>
      <c r="H241" s="10" t="n">
        <v>45669.68534722222</v>
      </c>
      <c r="I241" s="10" t="n">
        <v>45669.70565972223</v>
      </c>
      <c r="J241" s="10" t="n">
        <v>45669.70646990741</v>
      </c>
      <c r="K241" s="11">
        <f>IF(AND(ISNUMBER(D241),ISNUMBER(E241)),(E241-D241),"")</f>
        <v/>
      </c>
      <c r="L241" s="11">
        <f>IF(AND(ISNUMBER(F241),ISNUMBER(I241)),(I241-F241),"")</f>
        <v/>
      </c>
    </row>
    <row r="242">
      <c r="A242" s="3" t="inlineStr">
        <is>
          <t>1207502</t>
        </is>
      </c>
      <c r="B242" s="3" t="inlineStr">
        <is>
          <t>12075</t>
        </is>
      </c>
      <c r="C242" s="10" t="n">
        <v>45669.66666666666</v>
      </c>
      <c r="D242" s="10" t="n">
        <v>45669.66858796297</v>
      </c>
      <c r="E242" s="10" t="n">
        <v>45669.67717592593</v>
      </c>
      <c r="F242" s="10" t="n">
        <v>45669.67849537037</v>
      </c>
      <c r="G242" s="3" t="inlineStr">
        <is>
          <t>OBT120125230501-Budapest</t>
        </is>
      </c>
      <c r="H242" s="10" t="n">
        <v>45669.96181712963</v>
      </c>
      <c r="I242" s="10" t="n">
        <v>45670.01545138889</v>
      </c>
      <c r="J242" s="10" t="n">
        <v>45670.01657407408</v>
      </c>
      <c r="K242" s="11">
        <f>IF(AND(ISNUMBER(D242),ISNUMBER(E242)),(E242-D242),"")</f>
        <v/>
      </c>
      <c r="L242" s="11">
        <f>IF(AND(ISNUMBER(F242),ISNUMBER(I242)),(I242-F242),"")</f>
        <v/>
      </c>
    </row>
    <row r="243">
      <c r="A243" s="3" t="inlineStr">
        <is>
          <t>1207503</t>
        </is>
      </c>
      <c r="B243" s="3" t="inlineStr">
        <is>
          <t>12075</t>
        </is>
      </c>
      <c r="C243" s="10" t="n">
        <v>45669.66666666666</v>
      </c>
      <c r="D243" s="10" t="n">
        <v>45669.66858796297</v>
      </c>
      <c r="E243" s="10" t="n">
        <v>45669.67849537037</v>
      </c>
      <c r="F243" s="10" t="n">
        <v>45669.68032407408</v>
      </c>
      <c r="G243" s="3" t="n"/>
      <c r="H243" s="10" t="n"/>
      <c r="I243" s="10" t="n"/>
      <c r="J243" s="10" t="n"/>
      <c r="K243" s="11">
        <f>IF(AND(ISNUMBER(D243),ISNUMBER(E243)),(E243-D243),"")</f>
        <v/>
      </c>
      <c r="L243" s="11">
        <f>IF(AND(ISNUMBER(F243),ISNUMBER(I243)),(I243-F243),"")</f>
        <v/>
      </c>
    </row>
    <row r="244">
      <c r="A244" s="3" t="inlineStr">
        <is>
          <t>1207601</t>
        </is>
      </c>
      <c r="B244" s="3" t="inlineStr">
        <is>
          <t>12076</t>
        </is>
      </c>
      <c r="C244" s="10" t="n">
        <v>45669.79166666666</v>
      </c>
      <c r="D244" s="10" t="n">
        <v>45669.79362268518</v>
      </c>
      <c r="E244" s="10" t="n">
        <v>45669.79969907407</v>
      </c>
      <c r="F244" s="10" t="n">
        <v>45669.80105324074</v>
      </c>
      <c r="G244" s="3" t="inlineStr">
        <is>
          <t>OBT120125230501-Budapest</t>
        </is>
      </c>
      <c r="H244" s="10" t="n">
        <v>45669.96181712963</v>
      </c>
      <c r="I244" s="10" t="n">
        <v>45670.01545138889</v>
      </c>
      <c r="J244" s="10" t="n">
        <v>45670.01657407408</v>
      </c>
      <c r="K244" s="11">
        <f>IF(AND(ISNUMBER(D244),ISNUMBER(E244)),(E244-D244),"")</f>
        <v/>
      </c>
      <c r="L244" s="11">
        <f>IF(AND(ISNUMBER(F244),ISNUMBER(I244)),(I244-F244),"")</f>
        <v/>
      </c>
    </row>
    <row r="245">
      <c r="A245" s="3" t="inlineStr">
        <is>
          <t>1207602</t>
        </is>
      </c>
      <c r="B245" s="3" t="inlineStr">
        <is>
          <t>12076</t>
        </is>
      </c>
      <c r="C245" s="10" t="n">
        <v>45669.79166666666</v>
      </c>
      <c r="D245" s="10" t="n">
        <v>45669.79362268518</v>
      </c>
      <c r="E245" s="10" t="n">
        <v>45669.80105324074</v>
      </c>
      <c r="F245" s="10" t="n">
        <v>45669.80329861111</v>
      </c>
      <c r="G245" s="3" t="inlineStr">
        <is>
          <t>OBT120125194018-Vienna</t>
        </is>
      </c>
      <c r="H245" s="10" t="n">
        <v>45669.81965277778</v>
      </c>
      <c r="I245" s="10" t="n">
        <v>45669.85385416666</v>
      </c>
      <c r="J245" s="10" t="n">
        <v>45669.85479166666</v>
      </c>
      <c r="K245" s="11">
        <f>IF(AND(ISNUMBER(D245),ISNUMBER(E245)),(E245-D245),"")</f>
        <v/>
      </c>
      <c r="L245" s="11">
        <f>IF(AND(ISNUMBER(F245),ISNUMBER(I245)),(I245-F245),"")</f>
        <v/>
      </c>
    </row>
    <row r="246">
      <c r="A246" s="3" t="inlineStr">
        <is>
          <t>1207603</t>
        </is>
      </c>
      <c r="B246" s="3" t="inlineStr">
        <is>
          <t>12076</t>
        </is>
      </c>
      <c r="C246" s="10" t="n">
        <v>45669.79166666666</v>
      </c>
      <c r="D246" s="10" t="n">
        <v>45669.79362268518</v>
      </c>
      <c r="E246" s="10" t="n">
        <v>45669.80105324074</v>
      </c>
      <c r="F246" s="10" t="n">
        <v>45669.80329861111</v>
      </c>
      <c r="G246" s="3" t="inlineStr">
        <is>
          <t>OBT120125194018-Vienna</t>
        </is>
      </c>
      <c r="H246" s="10" t="n">
        <v>45669.81965277778</v>
      </c>
      <c r="I246" s="10" t="n">
        <v>45669.85385416666</v>
      </c>
      <c r="J246" s="10" t="n">
        <v>45669.85479166666</v>
      </c>
      <c r="K246" s="11">
        <f>IF(AND(ISNUMBER(D246),ISNUMBER(E246)),(E246-D246),"")</f>
        <v/>
      </c>
      <c r="L246" s="11">
        <f>IF(AND(ISNUMBER(F246),ISNUMBER(I246)),(I246-F246),"")</f>
        <v/>
      </c>
    </row>
    <row r="247">
      <c r="A247" s="3" t="inlineStr">
        <is>
          <t>1207701</t>
        </is>
      </c>
      <c r="B247" s="3" t="inlineStr">
        <is>
          <t>12077</t>
        </is>
      </c>
      <c r="C247" s="10" t="n">
        <v>45669.91666666666</v>
      </c>
      <c r="D247" s="10" t="n">
        <v>45669.91877314815</v>
      </c>
      <c r="E247" s="10" t="n">
        <v>45669.92497685185</v>
      </c>
      <c r="F247" s="10" t="n">
        <v>45669.92673611111</v>
      </c>
      <c r="G247" s="3" t="inlineStr">
        <is>
          <t>OBT120125230501-Budapest</t>
        </is>
      </c>
      <c r="H247" s="10" t="n">
        <v>45669.96181712963</v>
      </c>
      <c r="I247" s="10" t="n">
        <v>45670.01545138889</v>
      </c>
      <c r="J247" s="10" t="n">
        <v>45670.01657407408</v>
      </c>
      <c r="K247" s="11">
        <f>IF(AND(ISNUMBER(D247),ISNUMBER(E247)),(E247-D247),"")</f>
        <v/>
      </c>
      <c r="L247" s="11">
        <f>IF(AND(ISNUMBER(F247),ISNUMBER(I247)),(I247-F247),"")</f>
        <v/>
      </c>
    </row>
    <row r="248">
      <c r="A248" s="3" t="inlineStr">
        <is>
          <t>1207702</t>
        </is>
      </c>
      <c r="B248" s="3" t="inlineStr">
        <is>
          <t>12077</t>
        </is>
      </c>
      <c r="C248" s="10" t="n">
        <v>45669.91666666666</v>
      </c>
      <c r="D248" s="10" t="n">
        <v>45669.91877314815</v>
      </c>
      <c r="E248" s="10" t="n">
        <v>45669.92497685185</v>
      </c>
      <c r="F248" s="10" t="n">
        <v>45669.92673611111</v>
      </c>
      <c r="G248" s="3" t="inlineStr">
        <is>
          <t>OBT120125230501-Budapest</t>
        </is>
      </c>
      <c r="H248" s="10" t="n">
        <v>45669.96181712963</v>
      </c>
      <c r="I248" s="10" t="n">
        <v>45670.01545138889</v>
      </c>
      <c r="J248" s="10" t="n">
        <v>45670.01657407408</v>
      </c>
      <c r="K248" s="11">
        <f>IF(AND(ISNUMBER(D248),ISNUMBER(E248)),(E248-D248),"")</f>
        <v/>
      </c>
      <c r="L248" s="11">
        <f>IF(AND(ISNUMBER(F248),ISNUMBER(I248)),(I248-F248),"")</f>
        <v/>
      </c>
    </row>
    <row r="249">
      <c r="A249" s="3" t="inlineStr">
        <is>
          <t>1207703</t>
        </is>
      </c>
      <c r="B249" s="3" t="inlineStr">
        <is>
          <t>12077</t>
        </is>
      </c>
      <c r="C249" s="10" t="n">
        <v>45669.91666666666</v>
      </c>
      <c r="D249" s="10" t="n">
        <v>45669.91877314815</v>
      </c>
      <c r="E249" s="10" t="n">
        <v>45669.92497685185</v>
      </c>
      <c r="F249" s="10" t="n">
        <v>45669.92673611111</v>
      </c>
      <c r="G249" s="3" t="inlineStr">
        <is>
          <t>OBT120125230501-Budapest</t>
        </is>
      </c>
      <c r="H249" s="10" t="n">
        <v>45669.96181712963</v>
      </c>
      <c r="I249" s="10" t="n">
        <v>45670.01545138889</v>
      </c>
      <c r="J249" s="10" t="n">
        <v>45670.01657407408</v>
      </c>
      <c r="K249" s="11">
        <f>IF(AND(ISNUMBER(D249),ISNUMBER(E249)),(E249-D249),"")</f>
        <v/>
      </c>
      <c r="L249" s="11">
        <f>IF(AND(ISNUMBER(F249),ISNUMBER(I249)),(I249-F249),"")</f>
        <v/>
      </c>
    </row>
    <row r="250">
      <c r="A250" s="3" t="inlineStr">
        <is>
          <t>1207704</t>
        </is>
      </c>
      <c r="B250" s="3" t="inlineStr">
        <is>
          <t>12077</t>
        </is>
      </c>
      <c r="C250" s="10" t="n">
        <v>45669.91666666666</v>
      </c>
      <c r="D250" s="10" t="n">
        <v>45669.91877314815</v>
      </c>
      <c r="E250" s="10" t="n">
        <v>45669.92497685185</v>
      </c>
      <c r="F250" s="10" t="n">
        <v>45669.92673611111</v>
      </c>
      <c r="G250" s="3" t="inlineStr">
        <is>
          <t>OBT120125230501-Budapest</t>
        </is>
      </c>
      <c r="H250" s="10" t="n">
        <v>45669.96181712963</v>
      </c>
      <c r="I250" s="10" t="n">
        <v>45670.01545138889</v>
      </c>
      <c r="J250" s="10" t="n">
        <v>45670.01657407408</v>
      </c>
      <c r="K250" s="11">
        <f>IF(AND(ISNUMBER(D250),ISNUMBER(E250)),(E250-D250),"")</f>
        <v/>
      </c>
      <c r="L250" s="11">
        <f>IF(AND(ISNUMBER(F250),ISNUMBER(I250)),(I250-F250),"")</f>
        <v/>
      </c>
    </row>
    <row r="251">
      <c r="A251" s="3" t="inlineStr">
        <is>
          <t>1207705</t>
        </is>
      </c>
      <c r="B251" s="3" t="inlineStr">
        <is>
          <t>12077</t>
        </is>
      </c>
      <c r="C251" s="10" t="n">
        <v>45669.91666666666</v>
      </c>
      <c r="D251" s="10" t="n">
        <v>45669.91877314815</v>
      </c>
      <c r="E251" s="10" t="n">
        <v>45669.92497685185</v>
      </c>
      <c r="F251" s="10" t="n">
        <v>45669.92673611111</v>
      </c>
      <c r="G251" s="3" t="inlineStr">
        <is>
          <t>OBT120125230501-Budapest</t>
        </is>
      </c>
      <c r="H251" s="10" t="n">
        <v>45669.96181712963</v>
      </c>
      <c r="I251" s="10" t="n">
        <v>45670.01545138889</v>
      </c>
      <c r="J251" s="10" t="n">
        <v>45670.01657407408</v>
      </c>
      <c r="K251" s="11">
        <f>IF(AND(ISNUMBER(D251),ISNUMBER(E251)),(E251-D251),"")</f>
        <v/>
      </c>
      <c r="L251" s="11">
        <f>IF(AND(ISNUMBER(F251),ISNUMBER(I251)),(I251-F251),"")</f>
        <v/>
      </c>
    </row>
  </sheetData>
  <autoFilter ref="A1:L25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</cols>
  <sheetData>
    <row r="1" ht="45" customHeight="1">
      <c r="A1" s="1" t="inlineStr">
        <is>
          <t>ActivityType</t>
        </is>
      </c>
      <c r="B1" s="1" t="inlineStr">
        <is>
          <t>ActivityId</t>
        </is>
      </c>
      <c r="C1" s="1" t="inlineStr">
        <is>
          <t>Entity</t>
        </is>
      </c>
      <c r="D1" s="1" t="inlineStr">
        <is>
          <t>Length (m)</t>
        </is>
      </c>
      <c r="E1" s="1" t="inlineStr">
        <is>
          <t>From</t>
        </is>
      </c>
      <c r="F1" s="1" t="inlineStr">
        <is>
          <t>To</t>
        </is>
      </c>
      <c r="G1" s="1" t="inlineStr">
        <is>
          <t>Drive length (m)</t>
        </is>
      </c>
      <c r="H1" s="1" t="inlineStr">
        <is>
          <t>InitializedAt</t>
        </is>
      </c>
      <c r="I1" s="1" t="inlineStr">
        <is>
          <t>StartedAt</t>
        </is>
      </c>
      <c r="J1" s="1" t="inlineStr">
        <is>
          <t>CompletedAt</t>
        </is>
      </c>
      <c r="K1" s="1" t="inlineStr">
        <is>
          <t>Duration (hh:mm:ss)</t>
        </is>
      </c>
      <c r="L1" s="1" t="inlineStr">
        <is>
          <t>Number of separation joints</t>
        </is>
      </c>
    </row>
    <row r="2">
      <c r="A2" s="3" t="inlineStr">
        <is>
          <t>ArrivalDrive</t>
        </is>
      </c>
      <c r="B2" s="3" t="inlineStr">
        <is>
          <t>Act_ARRD_12001_050000_703</t>
        </is>
      </c>
      <c r="C2" s="3" t="inlineStr">
        <is>
          <t>12001</t>
        </is>
      </c>
      <c r="D2" s="9" t="n">
        <v>224</v>
      </c>
      <c r="E2" s="3" t="inlineStr">
        <is>
          <t>Entry gate</t>
        </is>
      </c>
      <c r="F2" s="3" t="inlineStr">
        <is>
          <t>703</t>
        </is>
      </c>
      <c r="G2" s="9" t="n">
        <v>766.25</v>
      </c>
      <c r="H2" s="10" t="n">
        <v>45663.20833333334</v>
      </c>
      <c r="I2" s="10" t="n">
        <v>45663.20833333334</v>
      </c>
      <c r="J2" s="10" t="n">
        <v>45663.21043981481</v>
      </c>
      <c r="K2" s="11" t="n">
        <v>0.002106481481481481</v>
      </c>
      <c r="L2" s="13" t="n"/>
    </row>
    <row r="3">
      <c r="A3" s="3" t="inlineStr">
        <is>
          <t>ArrivalDrive</t>
        </is>
      </c>
      <c r="B3" s="3" t="inlineStr">
        <is>
          <t>Act_ARRD_12002_050000_727</t>
        </is>
      </c>
      <c r="C3" s="3" t="inlineStr">
        <is>
          <t>12002</t>
        </is>
      </c>
      <c r="D3" s="9" t="n">
        <v>208</v>
      </c>
      <c r="E3" s="3" t="inlineStr">
        <is>
          <t>Entry gate</t>
        </is>
      </c>
      <c r="F3" s="3" t="inlineStr">
        <is>
          <t>727</t>
        </is>
      </c>
      <c r="G3" s="9" t="n">
        <v>556.2</v>
      </c>
      <c r="H3" s="10" t="n">
        <v>45663.20833333334</v>
      </c>
      <c r="I3" s="10" t="n">
        <v>45663.20833333334</v>
      </c>
      <c r="J3" s="10" t="n">
        <v>45663.20996527778</v>
      </c>
      <c r="K3" s="11" t="n">
        <v>0.001631944444444445</v>
      </c>
      <c r="L3" s="13" t="n"/>
    </row>
    <row r="4">
      <c r="A4" s="3" t="inlineStr">
        <is>
          <t>ArrivalDrive</t>
        </is>
      </c>
      <c r="B4" s="3" t="inlineStr">
        <is>
          <t>Act_ARRD_12003_073000_703</t>
        </is>
      </c>
      <c r="C4" s="3" t="inlineStr">
        <is>
          <t>12003</t>
        </is>
      </c>
      <c r="D4" s="9" t="n">
        <v>160</v>
      </c>
      <c r="E4" s="3" t="inlineStr">
        <is>
          <t>Entry gate</t>
        </is>
      </c>
      <c r="F4" s="3" t="inlineStr">
        <is>
          <t>703</t>
        </is>
      </c>
      <c r="G4" s="9" t="n">
        <v>766.25</v>
      </c>
      <c r="H4" s="10" t="n">
        <v>45663.3125</v>
      </c>
      <c r="I4" s="10" t="n">
        <v>45663.3125</v>
      </c>
      <c r="J4" s="10" t="n">
        <v>45663.31445601852</v>
      </c>
      <c r="K4" s="11" t="n">
        <v>0.001956018518518518</v>
      </c>
      <c r="L4" s="13" t="n"/>
    </row>
    <row r="5">
      <c r="A5" s="3" t="inlineStr">
        <is>
          <t>ArrivalDrive</t>
        </is>
      </c>
      <c r="B5" s="3" t="inlineStr">
        <is>
          <t>Act_ARRD_12004_111500_703</t>
        </is>
      </c>
      <c r="C5" s="3" t="inlineStr">
        <is>
          <t>12004</t>
        </is>
      </c>
      <c r="D5" s="9" t="n">
        <v>96</v>
      </c>
      <c r="E5" s="3" t="inlineStr">
        <is>
          <t>Entry gate</t>
        </is>
      </c>
      <c r="F5" s="3" t="inlineStr">
        <is>
          <t>703</t>
        </is>
      </c>
      <c r="G5" s="9" t="n">
        <v>766.25</v>
      </c>
      <c r="H5" s="10" t="n">
        <v>45663.46875</v>
      </c>
      <c r="I5" s="10" t="n">
        <v>45663.46875</v>
      </c>
      <c r="J5" s="10" t="n">
        <v>45663.47056712963</v>
      </c>
      <c r="K5" s="11" t="n">
        <v>0.00181712962962963</v>
      </c>
      <c r="L5" s="13" t="n"/>
    </row>
    <row r="6">
      <c r="A6" s="3" t="inlineStr">
        <is>
          <t>ArrivalDrive</t>
        </is>
      </c>
      <c r="B6" s="3" t="inlineStr">
        <is>
          <t>Act_ARRD_12005_144500_703</t>
        </is>
      </c>
      <c r="C6" s="3" t="inlineStr">
        <is>
          <t>12005</t>
        </is>
      </c>
      <c r="D6" s="9" t="n">
        <v>176</v>
      </c>
      <c r="E6" s="3" t="inlineStr">
        <is>
          <t>Entry gate</t>
        </is>
      </c>
      <c r="F6" s="3" t="inlineStr">
        <is>
          <t>703</t>
        </is>
      </c>
      <c r="G6" s="9" t="n">
        <v>766.25</v>
      </c>
      <c r="H6" s="10" t="n">
        <v>45663.61458333334</v>
      </c>
      <c r="I6" s="10" t="n">
        <v>45663.61458333334</v>
      </c>
      <c r="J6" s="10" t="n">
        <v>45663.61658564815</v>
      </c>
      <c r="K6" s="11" t="n">
        <v>0.002002314814814815</v>
      </c>
      <c r="L6" s="13" t="n"/>
    </row>
    <row r="7">
      <c r="A7" s="3" t="inlineStr">
        <is>
          <t>ArrivalDrive</t>
        </is>
      </c>
      <c r="B7" s="3" t="inlineStr">
        <is>
          <t>Act_ARRD_12006_060000_703</t>
        </is>
      </c>
      <c r="C7" s="3" t="inlineStr">
        <is>
          <t>12006</t>
        </is>
      </c>
      <c r="D7" s="9" t="n">
        <v>160</v>
      </c>
      <c r="E7" s="3" t="inlineStr">
        <is>
          <t>Entry gate</t>
        </is>
      </c>
      <c r="F7" s="3" t="inlineStr">
        <is>
          <t>703</t>
        </is>
      </c>
      <c r="G7" s="9" t="n">
        <v>766.25</v>
      </c>
      <c r="H7" s="10" t="n">
        <v>45664.25</v>
      </c>
      <c r="I7" s="10" t="n">
        <v>45664.25</v>
      </c>
      <c r="J7" s="10" t="n">
        <v>45664.25195601852</v>
      </c>
      <c r="K7" s="11" t="n">
        <v>0.001956018518518518</v>
      </c>
      <c r="L7" s="13" t="n"/>
    </row>
    <row r="8">
      <c r="A8" s="3" t="inlineStr">
        <is>
          <t>ArrivalDrive</t>
        </is>
      </c>
      <c r="B8" s="3" t="inlineStr">
        <is>
          <t>Act_ARRD_12007_061500_727</t>
        </is>
      </c>
      <c r="C8" s="3" t="inlineStr">
        <is>
          <t>12007</t>
        </is>
      </c>
      <c r="D8" s="9" t="n">
        <v>128</v>
      </c>
      <c r="E8" s="3" t="inlineStr">
        <is>
          <t>Entry gate</t>
        </is>
      </c>
      <c r="F8" s="3" t="inlineStr">
        <is>
          <t>727</t>
        </is>
      </c>
      <c r="G8" s="9" t="n">
        <v>556.2</v>
      </c>
      <c r="H8" s="10" t="n">
        <v>45664.26041666666</v>
      </c>
      <c r="I8" s="10" t="n">
        <v>45664.26041666666</v>
      </c>
      <c r="J8" s="10" t="n">
        <v>45664.26186342593</v>
      </c>
      <c r="K8" s="11" t="n">
        <v>0.001446759259259259</v>
      </c>
      <c r="L8" s="13" t="n"/>
    </row>
    <row r="9">
      <c r="A9" s="3" t="inlineStr">
        <is>
          <t>ArrivalDrive</t>
        </is>
      </c>
      <c r="B9" s="3" t="inlineStr">
        <is>
          <t>Act_ARRD_12008_062200_703</t>
        </is>
      </c>
      <c r="C9" s="3" t="inlineStr">
        <is>
          <t>12008</t>
        </is>
      </c>
      <c r="D9" s="9" t="n">
        <v>224</v>
      </c>
      <c r="E9" s="3" t="inlineStr">
        <is>
          <t>Entry gate</t>
        </is>
      </c>
      <c r="F9" s="3" t="inlineStr">
        <is>
          <t>703</t>
        </is>
      </c>
      <c r="G9" s="9" t="n">
        <v>766.25</v>
      </c>
      <c r="H9" s="10" t="n">
        <v>45664.26527777778</v>
      </c>
      <c r="I9" s="10" t="n">
        <v>45664.26527777778</v>
      </c>
      <c r="J9" s="10" t="n">
        <v>45664.26738425926</v>
      </c>
      <c r="K9" s="11" t="n">
        <v>0.002106481481481481</v>
      </c>
      <c r="L9" s="13" t="n"/>
    </row>
    <row r="10">
      <c r="A10" s="3" t="inlineStr">
        <is>
          <t>ArrivalDrive</t>
        </is>
      </c>
      <c r="B10" s="3" t="inlineStr">
        <is>
          <t>Act_ARRD_12009_063700_727</t>
        </is>
      </c>
      <c r="C10" s="3" t="inlineStr">
        <is>
          <t>12009</t>
        </is>
      </c>
      <c r="D10" s="9" t="n">
        <v>128</v>
      </c>
      <c r="E10" s="3" t="inlineStr">
        <is>
          <t>Entry gate</t>
        </is>
      </c>
      <c r="F10" s="3" t="inlineStr">
        <is>
          <t>727</t>
        </is>
      </c>
      <c r="G10" s="9" t="n">
        <v>556.2</v>
      </c>
      <c r="H10" s="10" t="n">
        <v>45664.27569444444</v>
      </c>
      <c r="I10" s="10" t="n">
        <v>45664.27569444444</v>
      </c>
      <c r="J10" s="10" t="n">
        <v>45664.2771412037</v>
      </c>
      <c r="K10" s="11" t="n">
        <v>0.001446759259259259</v>
      </c>
      <c r="L10" s="13" t="n"/>
    </row>
    <row r="11">
      <c r="A11" s="3" t="inlineStr">
        <is>
          <t>ArrivalDrive</t>
        </is>
      </c>
      <c r="B11" s="3" t="inlineStr">
        <is>
          <t>Act_ARRD_12010_065000_703</t>
        </is>
      </c>
      <c r="C11" s="3" t="inlineStr">
        <is>
          <t>12010</t>
        </is>
      </c>
      <c r="D11" s="9" t="n">
        <v>96</v>
      </c>
      <c r="E11" s="3" t="inlineStr">
        <is>
          <t>Entry gate</t>
        </is>
      </c>
      <c r="F11" s="3" t="inlineStr">
        <is>
          <t>703</t>
        </is>
      </c>
      <c r="G11" s="9" t="n">
        <v>766.25</v>
      </c>
      <c r="H11" s="10" t="n">
        <v>45664.28472222222</v>
      </c>
      <c r="I11" s="10" t="n">
        <v>45664.28472222222</v>
      </c>
      <c r="J11" s="10" t="n">
        <v>45664.28653935185</v>
      </c>
      <c r="K11" s="11" t="n">
        <v>0.00181712962962963</v>
      </c>
      <c r="L11" s="13" t="n"/>
    </row>
    <row r="12">
      <c r="A12" s="3" t="inlineStr">
        <is>
          <t>ArrivalDrive</t>
        </is>
      </c>
      <c r="B12" s="3" t="inlineStr">
        <is>
          <t>Act_ARRD_12011_070100_727</t>
        </is>
      </c>
      <c r="C12" s="3" t="inlineStr">
        <is>
          <t>12011</t>
        </is>
      </c>
      <c r="D12" s="9" t="n">
        <v>192</v>
      </c>
      <c r="E12" s="3" t="inlineStr">
        <is>
          <t>Entry gate</t>
        </is>
      </c>
      <c r="F12" s="3" t="inlineStr">
        <is>
          <t>727</t>
        </is>
      </c>
      <c r="G12" s="9" t="n">
        <v>556.2</v>
      </c>
      <c r="H12" s="10" t="n">
        <v>45664.29236111111</v>
      </c>
      <c r="I12" s="10" t="n">
        <v>45664.29236111111</v>
      </c>
      <c r="J12" s="10" t="n">
        <v>45664.29395833334</v>
      </c>
      <c r="K12" s="11" t="n">
        <v>0.001597222222222222</v>
      </c>
      <c r="L12" s="13" t="n"/>
    </row>
    <row r="13">
      <c r="A13" s="3" t="inlineStr">
        <is>
          <t>ArrivalDrive</t>
        </is>
      </c>
      <c r="B13" s="3" t="inlineStr">
        <is>
          <t>Act_ARRD_12012_130000_703</t>
        </is>
      </c>
      <c r="C13" s="3" t="inlineStr">
        <is>
          <t>12012</t>
        </is>
      </c>
      <c r="D13" s="9" t="n">
        <v>128</v>
      </c>
      <c r="E13" s="3" t="inlineStr">
        <is>
          <t>Entry gate</t>
        </is>
      </c>
      <c r="F13" s="3" t="inlineStr">
        <is>
          <t>703</t>
        </is>
      </c>
      <c r="G13" s="9" t="n">
        <v>766.25</v>
      </c>
      <c r="H13" s="10" t="n">
        <v>45664.54166666666</v>
      </c>
      <c r="I13" s="10" t="n">
        <v>45664.54166666666</v>
      </c>
      <c r="J13" s="10" t="n">
        <v>45664.54355324074</v>
      </c>
      <c r="K13" s="11" t="n">
        <v>0.001886574074074074</v>
      </c>
      <c r="L13" s="13" t="n"/>
    </row>
    <row r="14">
      <c r="A14" s="3" t="inlineStr">
        <is>
          <t>ArrivalDrive</t>
        </is>
      </c>
      <c r="B14" s="3" t="inlineStr">
        <is>
          <t>Act_ARRD_12013_163000_703</t>
        </is>
      </c>
      <c r="C14" s="3" t="inlineStr">
        <is>
          <t>12013</t>
        </is>
      </c>
      <c r="D14" s="9" t="n">
        <v>80</v>
      </c>
      <c r="E14" s="3" t="inlineStr">
        <is>
          <t>Entry gate</t>
        </is>
      </c>
      <c r="F14" s="3" t="inlineStr">
        <is>
          <t>703</t>
        </is>
      </c>
      <c r="G14" s="9" t="n">
        <v>766.25</v>
      </c>
      <c r="H14" s="10" t="n">
        <v>45664.6875</v>
      </c>
      <c r="I14" s="10" t="n">
        <v>45664.6875</v>
      </c>
      <c r="J14" s="10" t="n">
        <v>45664.68927083333</v>
      </c>
      <c r="K14" s="11" t="n">
        <v>0.001770833333333333</v>
      </c>
      <c r="L14" s="13" t="n"/>
    </row>
    <row r="15">
      <c r="A15" s="3" t="inlineStr">
        <is>
          <t>ArrivalDrive</t>
        </is>
      </c>
      <c r="B15" s="3" t="inlineStr">
        <is>
          <t>Act_ARRD_12014_200000_731</t>
        </is>
      </c>
      <c r="C15" s="3" t="inlineStr">
        <is>
          <t>12014</t>
        </is>
      </c>
      <c r="D15" s="9" t="n">
        <v>64</v>
      </c>
      <c r="E15" s="3" t="inlineStr">
        <is>
          <t>Entry gate</t>
        </is>
      </c>
      <c r="F15" s="3" t="inlineStr">
        <is>
          <t>731</t>
        </is>
      </c>
      <c r="G15" s="9" t="n">
        <v>587.14</v>
      </c>
      <c r="H15" s="10" t="n">
        <v>45664.83333333334</v>
      </c>
      <c r="I15" s="10" t="n">
        <v>45664.83333333334</v>
      </c>
      <c r="J15" s="10" t="n">
        <v>45664.83469907408</v>
      </c>
      <c r="K15" s="11" t="n">
        <v>0.001365740740740741</v>
      </c>
      <c r="L15" s="13" t="n"/>
    </row>
    <row r="16">
      <c r="A16" s="3" t="inlineStr">
        <is>
          <t>ArrivalDrive</t>
        </is>
      </c>
      <c r="B16" s="3" t="inlineStr">
        <is>
          <t>Act_ARRD_12015_053000_703</t>
        </is>
      </c>
      <c r="C16" s="3" t="inlineStr">
        <is>
          <t>12015</t>
        </is>
      </c>
      <c r="D16" s="9" t="n">
        <v>192</v>
      </c>
      <c r="E16" s="3" t="inlineStr">
        <is>
          <t>Entry gate</t>
        </is>
      </c>
      <c r="F16" s="3" t="inlineStr">
        <is>
          <t>703</t>
        </is>
      </c>
      <c r="G16" s="9" t="n">
        <v>766.25</v>
      </c>
      <c r="H16" s="10" t="n">
        <v>45665.22916666666</v>
      </c>
      <c r="I16" s="10" t="n">
        <v>45665.22916666666</v>
      </c>
      <c r="J16" s="10" t="n">
        <v>45665.2312037037</v>
      </c>
      <c r="K16" s="11" t="n">
        <v>0.002037037037037037</v>
      </c>
      <c r="L16" s="13" t="n"/>
    </row>
    <row r="17">
      <c r="A17" s="3" t="inlineStr">
        <is>
          <t>ArrivalDrive</t>
        </is>
      </c>
      <c r="B17" s="3" t="inlineStr">
        <is>
          <t>Act_ARRD_12017_053000_731</t>
        </is>
      </c>
      <c r="C17" s="3" t="inlineStr">
        <is>
          <t>12017</t>
        </is>
      </c>
      <c r="D17" s="9" t="n">
        <v>64</v>
      </c>
      <c r="E17" s="3" t="inlineStr">
        <is>
          <t>Entry gate</t>
        </is>
      </c>
      <c r="F17" s="3" t="inlineStr">
        <is>
          <t>731</t>
        </is>
      </c>
      <c r="G17" s="9" t="n">
        <v>587.14</v>
      </c>
      <c r="H17" s="10" t="n">
        <v>45665.22916666666</v>
      </c>
      <c r="I17" s="10" t="n">
        <v>45665.22916666666</v>
      </c>
      <c r="J17" s="10" t="n">
        <v>45665.2305324074</v>
      </c>
      <c r="K17" s="11" t="n">
        <v>0.001365740740740741</v>
      </c>
      <c r="L17" s="13" t="n"/>
    </row>
    <row r="18">
      <c r="A18" s="3" t="inlineStr">
        <is>
          <t>ArrivalDrive</t>
        </is>
      </c>
      <c r="B18" s="3" t="inlineStr">
        <is>
          <t>Act_ARRD_12016_053000_727</t>
        </is>
      </c>
      <c r="C18" s="3" t="inlineStr">
        <is>
          <t>12016</t>
        </is>
      </c>
      <c r="D18" s="9" t="n">
        <v>96</v>
      </c>
      <c r="E18" s="3" t="inlineStr">
        <is>
          <t>Entry gate</t>
        </is>
      </c>
      <c r="F18" s="3" t="inlineStr">
        <is>
          <t>727</t>
        </is>
      </c>
      <c r="G18" s="9" t="n">
        <v>556.2</v>
      </c>
      <c r="H18" s="10" t="n">
        <v>45665.22916666666</v>
      </c>
      <c r="I18" s="10" t="n">
        <v>45665.22916666666</v>
      </c>
      <c r="J18" s="10" t="n">
        <v>45665.23054398148</v>
      </c>
      <c r="K18" s="11" t="n">
        <v>0.001377314814814815</v>
      </c>
      <c r="L18" s="13" t="n"/>
    </row>
    <row r="19">
      <c r="A19" s="3" t="inlineStr">
        <is>
          <t>ArrivalDrive</t>
        </is>
      </c>
      <c r="B19" s="3" t="inlineStr">
        <is>
          <t>Act_ARRD_12018_090000_703</t>
        </is>
      </c>
      <c r="C19" s="3" t="inlineStr">
        <is>
          <t>12018</t>
        </is>
      </c>
      <c r="D19" s="9" t="n">
        <v>176</v>
      </c>
      <c r="E19" s="3" t="inlineStr">
        <is>
          <t>Entry gate</t>
        </is>
      </c>
      <c r="F19" s="3" t="inlineStr">
        <is>
          <t>703</t>
        </is>
      </c>
      <c r="G19" s="9" t="n">
        <v>766.25</v>
      </c>
      <c r="H19" s="10" t="n">
        <v>45665.375</v>
      </c>
      <c r="I19" s="10" t="n">
        <v>45665.375</v>
      </c>
      <c r="J19" s="10" t="n">
        <v>45665.37700231482</v>
      </c>
      <c r="K19" s="11" t="n">
        <v>0.002002314814814815</v>
      </c>
      <c r="L19" s="13" t="n"/>
    </row>
    <row r="20">
      <c r="A20" s="3" t="inlineStr">
        <is>
          <t>ArrivalDrive</t>
        </is>
      </c>
      <c r="B20" s="3" t="inlineStr">
        <is>
          <t>Act_ARRD_12019_090800_727</t>
        </is>
      </c>
      <c r="C20" s="3" t="inlineStr">
        <is>
          <t>12019</t>
        </is>
      </c>
      <c r="D20" s="9" t="n">
        <v>144</v>
      </c>
      <c r="E20" s="3" t="inlineStr">
        <is>
          <t>Entry gate</t>
        </is>
      </c>
      <c r="F20" s="3" t="inlineStr">
        <is>
          <t>727</t>
        </is>
      </c>
      <c r="G20" s="9" t="n">
        <v>556.2</v>
      </c>
      <c r="H20" s="10" t="n">
        <v>45665.38055555556</v>
      </c>
      <c r="I20" s="10" t="n">
        <v>45665.38055555556</v>
      </c>
      <c r="J20" s="10" t="n">
        <v>45665.38203703704</v>
      </c>
      <c r="K20" s="11" t="n">
        <v>0.001481481481481481</v>
      </c>
      <c r="L20" s="13" t="n"/>
    </row>
    <row r="21">
      <c r="A21" s="3" t="inlineStr">
        <is>
          <t>ArrivalDrive</t>
        </is>
      </c>
      <c r="B21" s="3" t="inlineStr">
        <is>
          <t>Act_ARRD_12020_093100_703</t>
        </is>
      </c>
      <c r="C21" s="3" t="inlineStr">
        <is>
          <t>12020</t>
        </is>
      </c>
      <c r="D21" s="9" t="n">
        <v>192</v>
      </c>
      <c r="E21" s="3" t="inlineStr">
        <is>
          <t>Entry gate</t>
        </is>
      </c>
      <c r="F21" s="3" t="inlineStr">
        <is>
          <t>703</t>
        </is>
      </c>
      <c r="G21" s="9" t="n">
        <v>766.25</v>
      </c>
      <c r="H21" s="10" t="n">
        <v>45665.39652777778</v>
      </c>
      <c r="I21" s="10" t="n">
        <v>45665.39652777778</v>
      </c>
      <c r="J21" s="10" t="n">
        <v>45665.39856481482</v>
      </c>
      <c r="K21" s="11" t="n">
        <v>0.002037037037037037</v>
      </c>
      <c r="L21" s="13" t="n"/>
    </row>
    <row r="22">
      <c r="A22" s="3" t="inlineStr">
        <is>
          <t>ArrivalDrive</t>
        </is>
      </c>
      <c r="B22" s="3" t="inlineStr">
        <is>
          <t>Act_ARRD_12021_094000_727</t>
        </is>
      </c>
      <c r="C22" s="3" t="inlineStr">
        <is>
          <t>12021</t>
        </is>
      </c>
      <c r="D22" s="9" t="n">
        <v>160</v>
      </c>
      <c r="E22" s="3" t="inlineStr">
        <is>
          <t>Entry gate</t>
        </is>
      </c>
      <c r="F22" s="3" t="inlineStr">
        <is>
          <t>727</t>
        </is>
      </c>
      <c r="G22" s="9" t="n">
        <v>556.2</v>
      </c>
      <c r="H22" s="10" t="n">
        <v>45665.40277777778</v>
      </c>
      <c r="I22" s="10" t="n">
        <v>45665.40277777778</v>
      </c>
      <c r="J22" s="10" t="n">
        <v>45665.40430555555</v>
      </c>
      <c r="K22" s="11" t="n">
        <v>0.001527777777777778</v>
      </c>
      <c r="L22" s="13" t="n"/>
    </row>
    <row r="23">
      <c r="A23" s="3" t="inlineStr">
        <is>
          <t>ArrivalDrive</t>
        </is>
      </c>
      <c r="B23" s="3" t="inlineStr">
        <is>
          <t>Act_ARRD_12022_100500_703</t>
        </is>
      </c>
      <c r="C23" s="3" t="inlineStr">
        <is>
          <t>12022</t>
        </is>
      </c>
      <c r="D23" s="9" t="n">
        <v>256</v>
      </c>
      <c r="E23" s="3" t="inlineStr">
        <is>
          <t>Entry gate</t>
        </is>
      </c>
      <c r="F23" s="3" t="inlineStr">
        <is>
          <t>703</t>
        </is>
      </c>
      <c r="G23" s="9" t="n">
        <v>766.25</v>
      </c>
      <c r="H23" s="10" t="n">
        <v>45665.42013888889</v>
      </c>
      <c r="I23" s="10" t="n">
        <v>45665.42013888889</v>
      </c>
      <c r="J23" s="10" t="n">
        <v>45665.42232638889</v>
      </c>
      <c r="K23" s="11" t="n">
        <v>0.0021875</v>
      </c>
      <c r="L23" s="13" t="n"/>
    </row>
    <row r="24">
      <c r="A24" s="3" t="inlineStr">
        <is>
          <t>ArrivalDrive</t>
        </is>
      </c>
      <c r="B24" s="3" t="inlineStr">
        <is>
          <t>Act_ARRD_12023_141500_703</t>
        </is>
      </c>
      <c r="C24" s="3" t="inlineStr">
        <is>
          <t>12023</t>
        </is>
      </c>
      <c r="D24" s="9" t="n">
        <v>160</v>
      </c>
      <c r="E24" s="3" t="inlineStr">
        <is>
          <t>Entry gate</t>
        </is>
      </c>
      <c r="F24" s="3" t="inlineStr">
        <is>
          <t>703</t>
        </is>
      </c>
      <c r="G24" s="9" t="n">
        <v>766.25</v>
      </c>
      <c r="H24" s="10" t="n">
        <v>45665.59375</v>
      </c>
      <c r="I24" s="10" t="n">
        <v>45665.59375</v>
      </c>
      <c r="J24" s="10" t="n">
        <v>45665.59570601852</v>
      </c>
      <c r="K24" s="11" t="n">
        <v>0.001956018518518518</v>
      </c>
      <c r="L24" s="13" t="n"/>
    </row>
    <row r="25">
      <c r="A25" s="3" t="inlineStr">
        <is>
          <t>ArrivalDrive</t>
        </is>
      </c>
      <c r="B25" s="3" t="inlineStr">
        <is>
          <t>Act_ARRD_12024_180000_703</t>
        </is>
      </c>
      <c r="C25" s="3" t="inlineStr">
        <is>
          <t>12024</t>
        </is>
      </c>
      <c r="D25" s="9" t="n">
        <v>112</v>
      </c>
      <c r="E25" s="3" t="inlineStr">
        <is>
          <t>Entry gate</t>
        </is>
      </c>
      <c r="F25" s="3" t="inlineStr">
        <is>
          <t>703</t>
        </is>
      </c>
      <c r="G25" s="9" t="n">
        <v>766.25</v>
      </c>
      <c r="H25" s="10" t="n">
        <v>45665.75</v>
      </c>
      <c r="I25" s="10" t="n">
        <v>45665.75</v>
      </c>
      <c r="J25" s="10" t="n">
        <v>45665.75185185186</v>
      </c>
      <c r="K25" s="11" t="n">
        <v>0.001851851851851852</v>
      </c>
      <c r="L25" s="13" t="n"/>
    </row>
    <row r="26">
      <c r="A26" s="3" t="inlineStr">
        <is>
          <t>ArrivalDrive</t>
        </is>
      </c>
      <c r="B26" s="3" t="inlineStr">
        <is>
          <t>Act_ARRD_12025_213000_703</t>
        </is>
      </c>
      <c r="C26" s="3" t="inlineStr">
        <is>
          <t>12025</t>
        </is>
      </c>
      <c r="D26" s="9" t="n">
        <v>256</v>
      </c>
      <c r="E26" s="3" t="inlineStr">
        <is>
          <t>Entry gate</t>
        </is>
      </c>
      <c r="F26" s="3" t="inlineStr">
        <is>
          <t>703</t>
        </is>
      </c>
      <c r="G26" s="9" t="n">
        <v>766.25</v>
      </c>
      <c r="H26" s="10" t="n">
        <v>45665.89583333334</v>
      </c>
      <c r="I26" s="10" t="n">
        <v>45665.89583333334</v>
      </c>
      <c r="J26" s="10" t="n">
        <v>45665.89802083333</v>
      </c>
      <c r="K26" s="11" t="n">
        <v>0.0021875</v>
      </c>
      <c r="L26" s="13" t="n"/>
    </row>
    <row r="27">
      <c r="A27" s="3" t="inlineStr">
        <is>
          <t>ArrivalDrive</t>
        </is>
      </c>
      <c r="B27" s="3" t="inlineStr">
        <is>
          <t>Act_ARRD_12026_050000_703</t>
        </is>
      </c>
      <c r="C27" s="3" t="inlineStr">
        <is>
          <t>12026</t>
        </is>
      </c>
      <c r="D27" s="9" t="n">
        <v>128</v>
      </c>
      <c r="E27" s="3" t="inlineStr">
        <is>
          <t>Entry gate</t>
        </is>
      </c>
      <c r="F27" s="3" t="inlineStr">
        <is>
          <t>703</t>
        </is>
      </c>
      <c r="G27" s="9" t="n">
        <v>766.25</v>
      </c>
      <c r="H27" s="10" t="n">
        <v>45666.20833333334</v>
      </c>
      <c r="I27" s="10" t="n">
        <v>45666.20833333334</v>
      </c>
      <c r="J27" s="10" t="n">
        <v>45666.21021990741</v>
      </c>
      <c r="K27" s="11" t="n">
        <v>0.001886574074074074</v>
      </c>
      <c r="L27" s="13" t="n"/>
    </row>
    <row r="28">
      <c r="A28" s="3" t="inlineStr">
        <is>
          <t>ArrivalDrive</t>
        </is>
      </c>
      <c r="B28" s="3" t="inlineStr">
        <is>
          <t>Act_ARRD_12027_050900_727</t>
        </is>
      </c>
      <c r="C28" s="3" t="inlineStr">
        <is>
          <t>12027</t>
        </is>
      </c>
      <c r="D28" s="9" t="n">
        <v>176</v>
      </c>
      <c r="E28" s="3" t="inlineStr">
        <is>
          <t>Entry gate</t>
        </is>
      </c>
      <c r="F28" s="3" t="inlineStr">
        <is>
          <t>727</t>
        </is>
      </c>
      <c r="G28" s="9" t="n">
        <v>556.2</v>
      </c>
      <c r="H28" s="10" t="n">
        <v>45666.21458333333</v>
      </c>
      <c r="I28" s="10" t="n">
        <v>45666.21458333333</v>
      </c>
      <c r="J28" s="10" t="n">
        <v>45666.21614583334</v>
      </c>
      <c r="K28" s="11" t="n">
        <v>0.0015625</v>
      </c>
      <c r="L28" s="13" t="n"/>
    </row>
    <row r="29">
      <c r="A29" s="3" t="inlineStr">
        <is>
          <t>ArrivalDrive</t>
        </is>
      </c>
      <c r="B29" s="3" t="inlineStr">
        <is>
          <t>Act_ARRD_12028_051900_703</t>
        </is>
      </c>
      <c r="C29" s="3" t="inlineStr">
        <is>
          <t>12028</t>
        </is>
      </c>
      <c r="D29" s="9" t="n">
        <v>176</v>
      </c>
      <c r="E29" s="3" t="inlineStr">
        <is>
          <t>Entry gate</t>
        </is>
      </c>
      <c r="F29" s="3" t="inlineStr">
        <is>
          <t>703</t>
        </is>
      </c>
      <c r="G29" s="9" t="n">
        <v>766.25</v>
      </c>
      <c r="H29" s="10" t="n">
        <v>45666.22152777778</v>
      </c>
      <c r="I29" s="10" t="n">
        <v>45666.22152777778</v>
      </c>
      <c r="J29" s="10" t="n">
        <v>45666.22353009259</v>
      </c>
      <c r="K29" s="11" t="n">
        <v>0.002002314814814815</v>
      </c>
      <c r="L29" s="13" t="n"/>
    </row>
    <row r="30">
      <c r="A30" s="3" t="inlineStr">
        <is>
          <t>ArrivalDrive</t>
        </is>
      </c>
      <c r="B30" s="3" t="inlineStr">
        <is>
          <t>Act_ARRD_12029_052800_727</t>
        </is>
      </c>
      <c r="C30" s="3" t="inlineStr">
        <is>
          <t>12029</t>
        </is>
      </c>
      <c r="D30" s="9" t="n">
        <v>208</v>
      </c>
      <c r="E30" s="3" t="inlineStr">
        <is>
          <t>Entry gate</t>
        </is>
      </c>
      <c r="F30" s="3" t="inlineStr">
        <is>
          <t>727</t>
        </is>
      </c>
      <c r="G30" s="9" t="n">
        <v>556.2</v>
      </c>
      <c r="H30" s="10" t="n">
        <v>45666.22777777778</v>
      </c>
      <c r="I30" s="10" t="n">
        <v>45666.22777777778</v>
      </c>
      <c r="J30" s="10" t="n">
        <v>45666.22940972223</v>
      </c>
      <c r="K30" s="11" t="n">
        <v>0.001631944444444445</v>
      </c>
      <c r="L30" s="13" t="n"/>
    </row>
    <row r="31">
      <c r="A31" s="3" t="inlineStr">
        <is>
          <t>ArrivalDrive</t>
        </is>
      </c>
      <c r="B31" s="3" t="inlineStr">
        <is>
          <t>Act_ARRD_12030_053300_725</t>
        </is>
      </c>
      <c r="C31" s="3" t="inlineStr">
        <is>
          <t>12030</t>
        </is>
      </c>
      <c r="D31" s="9" t="n">
        <v>144</v>
      </c>
      <c r="E31" s="3" t="inlineStr">
        <is>
          <t>Entry gate</t>
        </is>
      </c>
      <c r="F31" s="3" t="inlineStr">
        <is>
          <t>725</t>
        </is>
      </c>
      <c r="G31" s="9" t="n">
        <v>476.05</v>
      </c>
      <c r="H31" s="10" t="n">
        <v>45666.23125</v>
      </c>
      <c r="I31" s="10" t="n">
        <v>45666.23125</v>
      </c>
      <c r="J31" s="10" t="n">
        <v>45666.23256944444</v>
      </c>
      <c r="K31" s="11" t="n">
        <v>0.001319444444444444</v>
      </c>
      <c r="L31" s="13" t="n"/>
    </row>
    <row r="32">
      <c r="A32" s="3" t="inlineStr">
        <is>
          <t>ArrivalDrive</t>
        </is>
      </c>
      <c r="B32" s="3" t="inlineStr">
        <is>
          <t>Act_ARRD_12031_053800_723</t>
        </is>
      </c>
      <c r="C32" s="3" t="inlineStr">
        <is>
          <t>12031</t>
        </is>
      </c>
      <c r="D32" s="9" t="n">
        <v>96</v>
      </c>
      <c r="E32" s="3" t="inlineStr">
        <is>
          <t>Entry gate</t>
        </is>
      </c>
      <c r="F32" s="3" t="inlineStr">
        <is>
          <t>723</t>
        </is>
      </c>
      <c r="G32" s="9" t="n">
        <v>435.33</v>
      </c>
      <c r="H32" s="10" t="n">
        <v>45666.23472222222</v>
      </c>
      <c r="I32" s="10" t="n">
        <v>45666.23472222222</v>
      </c>
      <c r="J32" s="10" t="n">
        <v>45666.23584490741</v>
      </c>
      <c r="K32" s="11" t="n">
        <v>0.001122685185185185</v>
      </c>
      <c r="L32" s="13" t="n"/>
    </row>
    <row r="33">
      <c r="A33" s="3" t="inlineStr">
        <is>
          <t>ArrivalDrive</t>
        </is>
      </c>
      <c r="B33" s="3" t="inlineStr">
        <is>
          <t>Act_ARRD_12032_054500_703</t>
        </is>
      </c>
      <c r="C33" s="3" t="inlineStr">
        <is>
          <t>12032</t>
        </is>
      </c>
      <c r="D33" s="9" t="n">
        <v>160</v>
      </c>
      <c r="E33" s="3" t="inlineStr">
        <is>
          <t>Entry gate</t>
        </is>
      </c>
      <c r="F33" s="3" t="inlineStr">
        <is>
          <t>703</t>
        </is>
      </c>
      <c r="G33" s="9" t="n">
        <v>766.25</v>
      </c>
      <c r="H33" s="10" t="n">
        <v>45666.23958333334</v>
      </c>
      <c r="I33" s="10" t="n">
        <v>45666.23958333334</v>
      </c>
      <c r="J33" s="10" t="n">
        <v>45666.24153935185</v>
      </c>
      <c r="K33" s="11" t="n">
        <v>0.001956018518518518</v>
      </c>
      <c r="L33" s="13" t="n"/>
    </row>
    <row r="34">
      <c r="A34" s="3" t="inlineStr">
        <is>
          <t>ArrivalDrive</t>
        </is>
      </c>
      <c r="B34" s="3" t="inlineStr">
        <is>
          <t>Act_ARRD_12033_055200_727</t>
        </is>
      </c>
      <c r="C34" s="3" t="inlineStr">
        <is>
          <t>12033</t>
        </is>
      </c>
      <c r="D34" s="9" t="n">
        <v>176</v>
      </c>
      <c r="E34" s="3" t="inlineStr">
        <is>
          <t>Entry gate</t>
        </is>
      </c>
      <c r="F34" s="3" t="inlineStr">
        <is>
          <t>727</t>
        </is>
      </c>
      <c r="G34" s="9" t="n">
        <v>556.2</v>
      </c>
      <c r="H34" s="10" t="n">
        <v>45666.24444444444</v>
      </c>
      <c r="I34" s="10" t="n">
        <v>45666.24444444444</v>
      </c>
      <c r="J34" s="10" t="n">
        <v>45666.24600694444</v>
      </c>
      <c r="K34" s="11" t="n">
        <v>0.0015625</v>
      </c>
      <c r="L34" s="13" t="n"/>
    </row>
    <row r="35">
      <c r="A35" s="3" t="inlineStr">
        <is>
          <t>ArrivalDrive</t>
        </is>
      </c>
      <c r="B35" s="3" t="inlineStr">
        <is>
          <t>Act_ARRD_12035_110000_703</t>
        </is>
      </c>
      <c r="C35" s="3" t="inlineStr">
        <is>
          <t>12035</t>
        </is>
      </c>
      <c r="D35" s="9" t="n">
        <v>192</v>
      </c>
      <c r="E35" s="3" t="inlineStr">
        <is>
          <t>Entry gate</t>
        </is>
      </c>
      <c r="F35" s="3" t="inlineStr">
        <is>
          <t>703</t>
        </is>
      </c>
      <c r="G35" s="9" t="n">
        <v>766.25</v>
      </c>
      <c r="H35" s="10" t="n">
        <v>45666.45833333334</v>
      </c>
      <c r="I35" s="10" t="n">
        <v>45666.45833333334</v>
      </c>
      <c r="J35" s="10" t="n">
        <v>45666.46037037037</v>
      </c>
      <c r="K35" s="11" t="n">
        <v>0.002037037037037037</v>
      </c>
      <c r="L35" s="13" t="n"/>
    </row>
    <row r="36">
      <c r="A36" s="3" t="inlineStr">
        <is>
          <t>ArrivalDrive</t>
        </is>
      </c>
      <c r="B36" s="3" t="inlineStr">
        <is>
          <t>Act_ARRD_12034_110000_727</t>
        </is>
      </c>
      <c r="C36" s="3" t="inlineStr">
        <is>
          <t>12034</t>
        </is>
      </c>
      <c r="D36" s="9" t="n">
        <v>176</v>
      </c>
      <c r="E36" s="3" t="inlineStr">
        <is>
          <t>Entry gate</t>
        </is>
      </c>
      <c r="F36" s="3" t="inlineStr">
        <is>
          <t>727</t>
        </is>
      </c>
      <c r="G36" s="9" t="n">
        <v>556.2</v>
      </c>
      <c r="H36" s="10" t="n">
        <v>45666.45833333334</v>
      </c>
      <c r="I36" s="10" t="n">
        <v>45666.45833333334</v>
      </c>
      <c r="J36" s="10" t="n">
        <v>45666.45989583333</v>
      </c>
      <c r="K36" s="11" t="n">
        <v>0.0015625</v>
      </c>
      <c r="L36" s="13" t="n"/>
    </row>
    <row r="37">
      <c r="A37" s="3" t="inlineStr">
        <is>
          <t>ArrivalDrive</t>
        </is>
      </c>
      <c r="B37" s="3" t="inlineStr">
        <is>
          <t>Act_ARRD_12036_130000_703</t>
        </is>
      </c>
      <c r="C37" s="3" t="inlineStr">
        <is>
          <t>12036</t>
        </is>
      </c>
      <c r="D37" s="9" t="n">
        <v>288</v>
      </c>
      <c r="E37" s="3" t="inlineStr">
        <is>
          <t>Entry gate</t>
        </is>
      </c>
      <c r="F37" s="3" t="inlineStr">
        <is>
          <t>703</t>
        </is>
      </c>
      <c r="G37" s="9" t="n">
        <v>766.25</v>
      </c>
      <c r="H37" s="10" t="n">
        <v>45666.54166666666</v>
      </c>
      <c r="I37" s="10" t="n">
        <v>45666.54166666666</v>
      </c>
      <c r="J37" s="10" t="n">
        <v>45666.54392361111</v>
      </c>
      <c r="K37" s="11" t="n">
        <v>0.002256944444444444</v>
      </c>
      <c r="L37" s="13" t="n"/>
    </row>
    <row r="38">
      <c r="A38" s="3" t="inlineStr">
        <is>
          <t>ArrivalDrive</t>
        </is>
      </c>
      <c r="B38" s="3" t="inlineStr">
        <is>
          <t>Act_ARRD_12037_130700_727</t>
        </is>
      </c>
      <c r="C38" s="3" t="inlineStr">
        <is>
          <t>12037</t>
        </is>
      </c>
      <c r="D38" s="9" t="n">
        <v>176</v>
      </c>
      <c r="E38" s="3" t="inlineStr">
        <is>
          <t>Entry gate</t>
        </is>
      </c>
      <c r="F38" s="3" t="inlineStr">
        <is>
          <t>727</t>
        </is>
      </c>
      <c r="G38" s="9" t="n">
        <v>556.2</v>
      </c>
      <c r="H38" s="10" t="n">
        <v>45666.54652777778</v>
      </c>
      <c r="I38" s="10" t="n">
        <v>45666.54652777778</v>
      </c>
      <c r="J38" s="10" t="n">
        <v>45666.54809027778</v>
      </c>
      <c r="K38" s="11" t="n">
        <v>0.0015625</v>
      </c>
      <c r="L38" s="13" t="n"/>
    </row>
    <row r="39">
      <c r="A39" s="3" t="inlineStr">
        <is>
          <t>ArrivalDrive</t>
        </is>
      </c>
      <c r="B39" s="3" t="inlineStr">
        <is>
          <t>Act_ARRD_12038_132500_703</t>
        </is>
      </c>
      <c r="C39" s="3" t="inlineStr">
        <is>
          <t>12038</t>
        </is>
      </c>
      <c r="D39" s="9" t="n">
        <v>80</v>
      </c>
      <c r="E39" s="3" t="inlineStr">
        <is>
          <t>Entry gate</t>
        </is>
      </c>
      <c r="F39" s="3" t="inlineStr">
        <is>
          <t>703</t>
        </is>
      </c>
      <c r="G39" s="9" t="n">
        <v>766.25</v>
      </c>
      <c r="H39" s="10" t="n">
        <v>45666.55902777778</v>
      </c>
      <c r="I39" s="10" t="n">
        <v>45666.55902777778</v>
      </c>
      <c r="J39" s="10" t="n">
        <v>45666.56079861111</v>
      </c>
      <c r="K39" s="11" t="n">
        <v>0.001770833333333333</v>
      </c>
      <c r="L39" s="13" t="n"/>
    </row>
    <row r="40">
      <c r="A40" s="3" t="inlineStr">
        <is>
          <t>ArrivalDrive</t>
        </is>
      </c>
      <c r="B40" s="3" t="inlineStr">
        <is>
          <t>Act_ARRD_12039_133900_727</t>
        </is>
      </c>
      <c r="C40" s="3" t="inlineStr">
        <is>
          <t>12039</t>
        </is>
      </c>
      <c r="D40" s="9" t="n">
        <v>192</v>
      </c>
      <c r="E40" s="3" t="inlineStr">
        <is>
          <t>Entry gate</t>
        </is>
      </c>
      <c r="F40" s="3" t="inlineStr">
        <is>
          <t>727</t>
        </is>
      </c>
      <c r="G40" s="9" t="n">
        <v>556.2</v>
      </c>
      <c r="H40" s="10" t="n">
        <v>45666.56875</v>
      </c>
      <c r="I40" s="10" t="n">
        <v>45666.56875</v>
      </c>
      <c r="J40" s="10" t="n">
        <v>45666.57034722222</v>
      </c>
      <c r="K40" s="11" t="n">
        <v>0.001597222222222222</v>
      </c>
      <c r="L40" s="13" t="n"/>
    </row>
    <row r="41">
      <c r="A41" s="3" t="inlineStr">
        <is>
          <t>ArrivalDrive</t>
        </is>
      </c>
      <c r="B41" s="3" t="inlineStr">
        <is>
          <t>Act_ARRD_12040_135000_703</t>
        </is>
      </c>
      <c r="C41" s="3" t="inlineStr">
        <is>
          <t>12040</t>
        </is>
      </c>
      <c r="D41" s="9" t="n">
        <v>192</v>
      </c>
      <c r="E41" s="3" t="inlineStr">
        <is>
          <t>Entry gate</t>
        </is>
      </c>
      <c r="F41" s="3" t="inlineStr">
        <is>
          <t>703</t>
        </is>
      </c>
      <c r="G41" s="9" t="n">
        <v>766.25</v>
      </c>
      <c r="H41" s="10" t="n">
        <v>45666.57638888889</v>
      </c>
      <c r="I41" s="10" t="n">
        <v>45666.57638888889</v>
      </c>
      <c r="J41" s="10" t="n">
        <v>45666.57842592592</v>
      </c>
      <c r="K41" s="11" t="n">
        <v>0.002037037037037037</v>
      </c>
      <c r="L41" s="13" t="n"/>
    </row>
    <row r="42">
      <c r="A42" s="3" t="inlineStr">
        <is>
          <t>ArrivalDrive</t>
        </is>
      </c>
      <c r="B42" s="3" t="inlineStr">
        <is>
          <t>Act_ARRD_12041_190000_703</t>
        </is>
      </c>
      <c r="C42" s="3" t="inlineStr">
        <is>
          <t>12041</t>
        </is>
      </c>
      <c r="D42" s="9" t="n">
        <v>144</v>
      </c>
      <c r="E42" s="3" t="inlineStr">
        <is>
          <t>Entry gate</t>
        </is>
      </c>
      <c r="F42" s="3" t="inlineStr">
        <is>
          <t>703</t>
        </is>
      </c>
      <c r="G42" s="9" t="n">
        <v>766.25</v>
      </c>
      <c r="H42" s="10" t="n">
        <v>45666.79166666666</v>
      </c>
      <c r="I42" s="10" t="n">
        <v>45666.79166666666</v>
      </c>
      <c r="J42" s="10" t="n">
        <v>45666.79358796297</v>
      </c>
      <c r="K42" s="11" t="n">
        <v>0.001921296296296296</v>
      </c>
      <c r="L42" s="13" t="n"/>
    </row>
    <row r="43">
      <c r="A43" s="3" t="inlineStr">
        <is>
          <t>ArrivalDrive</t>
        </is>
      </c>
      <c r="B43" s="3" t="inlineStr">
        <is>
          <t>Act_ARRD_12042_190500_727</t>
        </is>
      </c>
      <c r="C43" s="3" t="inlineStr">
        <is>
          <t>12042</t>
        </is>
      </c>
      <c r="D43" s="9" t="n">
        <v>272</v>
      </c>
      <c r="E43" s="3" t="inlineStr">
        <is>
          <t>Entry gate</t>
        </is>
      </c>
      <c r="F43" s="3" t="inlineStr">
        <is>
          <t>727</t>
        </is>
      </c>
      <c r="G43" s="9" t="n">
        <v>556.2</v>
      </c>
      <c r="H43" s="10" t="n">
        <v>45666.79513888889</v>
      </c>
      <c r="I43" s="10" t="n">
        <v>45666.79513888889</v>
      </c>
      <c r="J43" s="10" t="n">
        <v>45666.7969212963</v>
      </c>
      <c r="K43" s="11" t="n">
        <v>0.001782407407407407</v>
      </c>
      <c r="L43" s="13" t="n"/>
    </row>
    <row r="44">
      <c r="A44" s="3" t="inlineStr">
        <is>
          <t>ArrivalDrive</t>
        </is>
      </c>
      <c r="B44" s="3" t="inlineStr">
        <is>
          <t>Act_ARRD_12043_223000_703</t>
        </is>
      </c>
      <c r="C44" s="3" t="inlineStr">
        <is>
          <t>12043</t>
        </is>
      </c>
      <c r="D44" s="9" t="n">
        <v>160</v>
      </c>
      <c r="E44" s="3" t="inlineStr">
        <is>
          <t>Entry gate</t>
        </is>
      </c>
      <c r="F44" s="3" t="inlineStr">
        <is>
          <t>703</t>
        </is>
      </c>
      <c r="G44" s="9" t="n">
        <v>766.25</v>
      </c>
      <c r="H44" s="10" t="n">
        <v>45666.9375</v>
      </c>
      <c r="I44" s="10" t="n">
        <v>45666.9375</v>
      </c>
      <c r="J44" s="10" t="n">
        <v>45666.93945601852</v>
      </c>
      <c r="K44" s="11" t="n">
        <v>0.001956018518518518</v>
      </c>
      <c r="L44" s="13" t="n"/>
    </row>
    <row r="45">
      <c r="A45" s="3" t="inlineStr">
        <is>
          <t>ArrivalDrive</t>
        </is>
      </c>
      <c r="B45" s="3" t="inlineStr">
        <is>
          <t>Act_ARRD_12044_070000_703</t>
        </is>
      </c>
      <c r="C45" s="3" t="inlineStr">
        <is>
          <t>12044</t>
        </is>
      </c>
      <c r="D45" s="9" t="n">
        <v>160</v>
      </c>
      <c r="E45" s="3" t="inlineStr">
        <is>
          <t>Entry gate</t>
        </is>
      </c>
      <c r="F45" s="3" t="inlineStr">
        <is>
          <t>703</t>
        </is>
      </c>
      <c r="G45" s="9" t="n">
        <v>766.25</v>
      </c>
      <c r="H45" s="10" t="n">
        <v>45667.29166666666</v>
      </c>
      <c r="I45" s="10" t="n">
        <v>45667.29166666666</v>
      </c>
      <c r="J45" s="10" t="n">
        <v>45667.29362268518</v>
      </c>
      <c r="K45" s="11" t="n">
        <v>0.001956018518518518</v>
      </c>
      <c r="L45" s="13" t="n"/>
    </row>
    <row r="46">
      <c r="A46" s="3" t="inlineStr">
        <is>
          <t>ArrivalDrive</t>
        </is>
      </c>
      <c r="B46" s="3" t="inlineStr">
        <is>
          <t>Act_ARRD_12045_073500_703</t>
        </is>
      </c>
      <c r="C46" s="3" t="inlineStr">
        <is>
          <t>12045</t>
        </is>
      </c>
      <c r="D46" s="9" t="n">
        <v>144</v>
      </c>
      <c r="E46" s="3" t="inlineStr">
        <is>
          <t>Entry gate</t>
        </is>
      </c>
      <c r="F46" s="3" t="inlineStr">
        <is>
          <t>703</t>
        </is>
      </c>
      <c r="G46" s="9" t="n">
        <v>766.25</v>
      </c>
      <c r="H46" s="10" t="n">
        <v>45667.31597222222</v>
      </c>
      <c r="I46" s="10" t="n">
        <v>45667.31597222222</v>
      </c>
      <c r="J46" s="10" t="n">
        <v>45667.31789351852</v>
      </c>
      <c r="K46" s="11" t="n">
        <v>0.001921296296296296</v>
      </c>
      <c r="L46" s="13" t="n"/>
    </row>
    <row r="47">
      <c r="A47" s="3" t="inlineStr">
        <is>
          <t>ArrivalDrive</t>
        </is>
      </c>
      <c r="B47" s="3" t="inlineStr">
        <is>
          <t>Act_ARRD_12046_082400_703</t>
        </is>
      </c>
      <c r="C47" s="3" t="inlineStr">
        <is>
          <t>12046</t>
        </is>
      </c>
      <c r="D47" s="9" t="n">
        <v>96</v>
      </c>
      <c r="E47" s="3" t="inlineStr">
        <is>
          <t>Entry gate</t>
        </is>
      </c>
      <c r="F47" s="3" t="inlineStr">
        <is>
          <t>703</t>
        </is>
      </c>
      <c r="G47" s="9" t="n">
        <v>766.25</v>
      </c>
      <c r="H47" s="10" t="n">
        <v>45667.35</v>
      </c>
      <c r="I47" s="10" t="n">
        <v>45667.35</v>
      </c>
      <c r="J47" s="10" t="n">
        <v>45667.35181712963</v>
      </c>
      <c r="K47" s="11" t="n">
        <v>0.00181712962962963</v>
      </c>
      <c r="L47" s="13" t="n"/>
    </row>
    <row r="48">
      <c r="A48" s="3" t="inlineStr">
        <is>
          <t>ArrivalDrive</t>
        </is>
      </c>
      <c r="B48" s="3" t="inlineStr">
        <is>
          <t>Act_ARRD_12047_090300_703</t>
        </is>
      </c>
      <c r="C48" s="3" t="inlineStr">
        <is>
          <t>12047</t>
        </is>
      </c>
      <c r="D48" s="9" t="n">
        <v>176</v>
      </c>
      <c r="E48" s="3" t="inlineStr">
        <is>
          <t>Entry gate</t>
        </is>
      </c>
      <c r="F48" s="3" t="inlineStr">
        <is>
          <t>703</t>
        </is>
      </c>
      <c r="G48" s="9" t="n">
        <v>766.25</v>
      </c>
      <c r="H48" s="10" t="n">
        <v>45667.37708333333</v>
      </c>
      <c r="I48" s="10" t="n">
        <v>45667.37708333333</v>
      </c>
      <c r="J48" s="10" t="n">
        <v>45667.37908564815</v>
      </c>
      <c r="K48" s="11" t="n">
        <v>0.002002314814814815</v>
      </c>
      <c r="L48" s="13" t="n"/>
    </row>
    <row r="49">
      <c r="A49" s="3" t="inlineStr">
        <is>
          <t>ArrivalDrive</t>
        </is>
      </c>
      <c r="B49" s="3" t="inlineStr">
        <is>
          <t>Act_ARRD_12049_130000_703</t>
        </is>
      </c>
      <c r="C49" s="3" t="inlineStr">
        <is>
          <t>12049</t>
        </is>
      </c>
      <c r="D49" s="9" t="n">
        <v>224</v>
      </c>
      <c r="E49" s="3" t="inlineStr">
        <is>
          <t>Entry gate</t>
        </is>
      </c>
      <c r="F49" s="3" t="inlineStr">
        <is>
          <t>703</t>
        </is>
      </c>
      <c r="G49" s="9" t="n">
        <v>766.25</v>
      </c>
      <c r="H49" s="10" t="n">
        <v>45667.54166666666</v>
      </c>
      <c r="I49" s="10" t="n">
        <v>45667.54166666666</v>
      </c>
      <c r="J49" s="10" t="n">
        <v>45667.54377314815</v>
      </c>
      <c r="K49" s="11" t="n">
        <v>0.002106481481481481</v>
      </c>
      <c r="L49" s="13" t="n"/>
    </row>
    <row r="50">
      <c r="A50" s="3" t="inlineStr">
        <is>
          <t>ArrivalDrive</t>
        </is>
      </c>
      <c r="B50" s="3" t="inlineStr">
        <is>
          <t>Act_ARRD_12048_130000_727</t>
        </is>
      </c>
      <c r="C50" s="3" t="inlineStr">
        <is>
          <t>12048</t>
        </is>
      </c>
      <c r="D50" s="9" t="n">
        <v>240</v>
      </c>
      <c r="E50" s="3" t="inlineStr">
        <is>
          <t>Entry gate</t>
        </is>
      </c>
      <c r="F50" s="3" t="inlineStr">
        <is>
          <t>727</t>
        </is>
      </c>
      <c r="G50" s="9" t="n">
        <v>556.2</v>
      </c>
      <c r="H50" s="10" t="n">
        <v>45667.54166666666</v>
      </c>
      <c r="I50" s="10" t="n">
        <v>45667.54166666666</v>
      </c>
      <c r="J50" s="10" t="n">
        <v>45667.54337962963</v>
      </c>
      <c r="K50" s="11" t="n">
        <v>0.001712962962962963</v>
      </c>
      <c r="L50" s="13" t="n"/>
    </row>
    <row r="51">
      <c r="A51" s="3" t="inlineStr">
        <is>
          <t>ArrivalDrive</t>
        </is>
      </c>
      <c r="B51" s="3" t="inlineStr">
        <is>
          <t>Act_ARRD_12050_150000_703</t>
        </is>
      </c>
      <c r="C51" s="3" t="inlineStr">
        <is>
          <t>12050</t>
        </is>
      </c>
      <c r="D51" s="9" t="n">
        <v>208</v>
      </c>
      <c r="E51" s="3" t="inlineStr">
        <is>
          <t>Entry gate</t>
        </is>
      </c>
      <c r="F51" s="3" t="inlineStr">
        <is>
          <t>703</t>
        </is>
      </c>
      <c r="G51" s="9" t="n">
        <v>766.25</v>
      </c>
      <c r="H51" s="10" t="n">
        <v>45667.625</v>
      </c>
      <c r="I51" s="10" t="n">
        <v>45667.625</v>
      </c>
      <c r="J51" s="10" t="n">
        <v>45667.62707175926</v>
      </c>
      <c r="K51" s="11" t="n">
        <v>0.002071759259259259</v>
      </c>
      <c r="L51" s="13" t="n"/>
    </row>
    <row r="52">
      <c r="A52" s="3" t="inlineStr">
        <is>
          <t>ArrivalDrive</t>
        </is>
      </c>
      <c r="B52" s="3" t="inlineStr">
        <is>
          <t>Act_ARRD_12051_154100_703</t>
        </is>
      </c>
      <c r="C52" s="3" t="inlineStr">
        <is>
          <t>12051</t>
        </is>
      </c>
      <c r="D52" s="9" t="n">
        <v>160</v>
      </c>
      <c r="E52" s="3" t="inlineStr">
        <is>
          <t>Entry gate</t>
        </is>
      </c>
      <c r="F52" s="3" t="inlineStr">
        <is>
          <t>703</t>
        </is>
      </c>
      <c r="G52" s="9" t="n">
        <v>766.25</v>
      </c>
      <c r="H52" s="10" t="n">
        <v>45667.65347222222</v>
      </c>
      <c r="I52" s="10" t="n">
        <v>45667.65347222222</v>
      </c>
      <c r="J52" s="10" t="n">
        <v>45667.65542824074</v>
      </c>
      <c r="K52" s="11" t="n">
        <v>0.001956018518518518</v>
      </c>
      <c r="L52" s="13" t="n"/>
    </row>
    <row r="53">
      <c r="A53" s="3" t="inlineStr">
        <is>
          <t>ArrivalDrive</t>
        </is>
      </c>
      <c r="B53" s="3" t="inlineStr">
        <is>
          <t>Act_ARRD_12052_161300_703</t>
        </is>
      </c>
      <c r="C53" s="3" t="inlineStr">
        <is>
          <t>12052</t>
        </is>
      </c>
      <c r="D53" s="9" t="n">
        <v>224</v>
      </c>
      <c r="E53" s="3" t="inlineStr">
        <is>
          <t>Entry gate</t>
        </is>
      </c>
      <c r="F53" s="3" t="inlineStr">
        <is>
          <t>703</t>
        </is>
      </c>
      <c r="G53" s="9" t="n">
        <v>766.25</v>
      </c>
      <c r="H53" s="10" t="n">
        <v>45667.67569444444</v>
      </c>
      <c r="I53" s="10" t="n">
        <v>45667.67569444444</v>
      </c>
      <c r="J53" s="10" t="n">
        <v>45667.67780092593</v>
      </c>
      <c r="K53" s="11" t="n">
        <v>0.002106481481481481</v>
      </c>
      <c r="L53" s="13" t="n"/>
    </row>
    <row r="54">
      <c r="A54" s="3" t="inlineStr">
        <is>
          <t>ArrivalDrive</t>
        </is>
      </c>
      <c r="B54" s="3" t="inlineStr">
        <is>
          <t>Act_ARRD_12053_165400_703</t>
        </is>
      </c>
      <c r="C54" s="3" t="inlineStr">
        <is>
          <t>12053</t>
        </is>
      </c>
      <c r="D54" s="9" t="n">
        <v>128</v>
      </c>
      <c r="E54" s="3" t="inlineStr">
        <is>
          <t>Entry gate</t>
        </is>
      </c>
      <c r="F54" s="3" t="inlineStr">
        <is>
          <t>703</t>
        </is>
      </c>
      <c r="G54" s="9" t="n">
        <v>766.25</v>
      </c>
      <c r="H54" s="10" t="n">
        <v>45667.70416666667</v>
      </c>
      <c r="I54" s="10" t="n">
        <v>45667.70416666667</v>
      </c>
      <c r="J54" s="10" t="n">
        <v>45667.70605324074</v>
      </c>
      <c r="K54" s="11" t="n">
        <v>0.001886574074074074</v>
      </c>
      <c r="L54" s="13" t="n"/>
    </row>
    <row r="55">
      <c r="A55" s="3" t="inlineStr">
        <is>
          <t>ArrivalDrive</t>
        </is>
      </c>
      <c r="B55" s="3" t="inlineStr">
        <is>
          <t>Act_ARRD_12054_200000_703</t>
        </is>
      </c>
      <c r="C55" s="3" t="inlineStr">
        <is>
          <t>12054</t>
        </is>
      </c>
      <c r="D55" s="9" t="n">
        <v>144</v>
      </c>
      <c r="E55" s="3" t="inlineStr">
        <is>
          <t>Entry gate</t>
        </is>
      </c>
      <c r="F55" s="3" t="inlineStr">
        <is>
          <t>703</t>
        </is>
      </c>
      <c r="G55" s="9" t="n">
        <v>766.25</v>
      </c>
      <c r="H55" s="10" t="n">
        <v>45667.83333333334</v>
      </c>
      <c r="I55" s="10" t="n">
        <v>45667.83333333334</v>
      </c>
      <c r="J55" s="10" t="n">
        <v>45667.83525462963</v>
      </c>
      <c r="K55" s="11" t="n">
        <v>0.001921296296296296</v>
      </c>
      <c r="L55" s="13" t="n"/>
    </row>
    <row r="56">
      <c r="A56" s="3" t="inlineStr">
        <is>
          <t>ArrivalDrive</t>
        </is>
      </c>
      <c r="B56" s="3" t="inlineStr">
        <is>
          <t>Act_ARRD_12055_223000_703</t>
        </is>
      </c>
      <c r="C56" s="3" t="inlineStr">
        <is>
          <t>12055</t>
        </is>
      </c>
      <c r="D56" s="9" t="n">
        <v>96</v>
      </c>
      <c r="E56" s="3" t="inlineStr">
        <is>
          <t>Entry gate</t>
        </is>
      </c>
      <c r="F56" s="3" t="inlineStr">
        <is>
          <t>703</t>
        </is>
      </c>
      <c r="G56" s="9" t="n">
        <v>766.25</v>
      </c>
      <c r="H56" s="10" t="n">
        <v>45667.9375</v>
      </c>
      <c r="I56" s="10" t="n">
        <v>45667.9375</v>
      </c>
      <c r="J56" s="10" t="n">
        <v>45667.93931712963</v>
      </c>
      <c r="K56" s="11" t="n">
        <v>0.00181712962962963</v>
      </c>
      <c r="L56" s="13" t="n"/>
    </row>
    <row r="57">
      <c r="A57" s="3" t="inlineStr">
        <is>
          <t>ArrivalDrive</t>
        </is>
      </c>
      <c r="B57" s="3" t="inlineStr">
        <is>
          <t>Act_ARRD_12056_060000_703</t>
        </is>
      </c>
      <c r="C57" s="3" t="inlineStr">
        <is>
          <t>12056</t>
        </is>
      </c>
      <c r="D57" s="9" t="n">
        <v>112</v>
      </c>
      <c r="E57" s="3" t="inlineStr">
        <is>
          <t>Entry gate</t>
        </is>
      </c>
      <c r="F57" s="3" t="inlineStr">
        <is>
          <t>703</t>
        </is>
      </c>
      <c r="G57" s="9" t="n">
        <v>766.25</v>
      </c>
      <c r="H57" s="10" t="n">
        <v>45668.25</v>
      </c>
      <c r="I57" s="10" t="n">
        <v>45668.25</v>
      </c>
      <c r="J57" s="10" t="n">
        <v>45668.25185185186</v>
      </c>
      <c r="K57" s="11" t="n">
        <v>0.001851851851851852</v>
      </c>
      <c r="L57" s="13" t="n"/>
    </row>
    <row r="58">
      <c r="A58" s="3" t="inlineStr">
        <is>
          <t>ArrivalDrive</t>
        </is>
      </c>
      <c r="B58" s="3" t="inlineStr">
        <is>
          <t>Act_ARRD_12057_061300_727</t>
        </is>
      </c>
      <c r="C58" s="3" t="inlineStr">
        <is>
          <t>12057</t>
        </is>
      </c>
      <c r="D58" s="9" t="n">
        <v>128</v>
      </c>
      <c r="E58" s="3" t="inlineStr">
        <is>
          <t>Entry gate</t>
        </is>
      </c>
      <c r="F58" s="3" t="inlineStr">
        <is>
          <t>727</t>
        </is>
      </c>
      <c r="G58" s="9" t="n">
        <v>556.2</v>
      </c>
      <c r="H58" s="10" t="n">
        <v>45668.25902777778</v>
      </c>
      <c r="I58" s="10" t="n">
        <v>45668.25902777778</v>
      </c>
      <c r="J58" s="10" t="n">
        <v>45668.26047453703</v>
      </c>
      <c r="K58" s="11" t="n">
        <v>0.001446759259259259</v>
      </c>
      <c r="L58" s="13" t="n"/>
    </row>
    <row r="59">
      <c r="A59" s="3" t="inlineStr">
        <is>
          <t>ArrivalDrive</t>
        </is>
      </c>
      <c r="B59" s="3" t="inlineStr">
        <is>
          <t>Act_ARRD_12058_063100_703</t>
        </is>
      </c>
      <c r="C59" s="3" t="inlineStr">
        <is>
          <t>12058</t>
        </is>
      </c>
      <c r="D59" s="9" t="n">
        <v>128</v>
      </c>
      <c r="E59" s="3" t="inlineStr">
        <is>
          <t>Entry gate</t>
        </is>
      </c>
      <c r="F59" s="3" t="inlineStr">
        <is>
          <t>703</t>
        </is>
      </c>
      <c r="G59" s="9" t="n">
        <v>766.25</v>
      </c>
      <c r="H59" s="10" t="n">
        <v>45668.27152777778</v>
      </c>
      <c r="I59" s="10" t="n">
        <v>45668.27152777778</v>
      </c>
      <c r="J59" s="10" t="n">
        <v>45668.27341435185</v>
      </c>
      <c r="K59" s="11" t="n">
        <v>0.001886574074074074</v>
      </c>
      <c r="L59" s="13" t="n"/>
    </row>
    <row r="60">
      <c r="A60" s="3" t="inlineStr">
        <is>
          <t>ArrivalDrive</t>
        </is>
      </c>
      <c r="B60" s="3" t="inlineStr">
        <is>
          <t>Act_ARRD_12059_065600_703</t>
        </is>
      </c>
      <c r="C60" s="3" t="inlineStr">
        <is>
          <t>12059</t>
        </is>
      </c>
      <c r="D60" s="9" t="n">
        <v>112</v>
      </c>
      <c r="E60" s="3" t="inlineStr">
        <is>
          <t>Entry gate</t>
        </is>
      </c>
      <c r="F60" s="3" t="inlineStr">
        <is>
          <t>703</t>
        </is>
      </c>
      <c r="G60" s="9" t="n">
        <v>766.25</v>
      </c>
      <c r="H60" s="10" t="n">
        <v>45668.28888888889</v>
      </c>
      <c r="I60" s="10" t="n">
        <v>45668.28888888889</v>
      </c>
      <c r="J60" s="10" t="n">
        <v>45668.29074074074</v>
      </c>
      <c r="K60" s="11" t="n">
        <v>0.001851851851851852</v>
      </c>
      <c r="L60" s="13" t="n"/>
    </row>
    <row r="61">
      <c r="A61" s="3" t="inlineStr">
        <is>
          <t>ArrivalDrive</t>
        </is>
      </c>
      <c r="B61" s="3" t="inlineStr">
        <is>
          <t>Act_ARRD_12060_071700_703</t>
        </is>
      </c>
      <c r="C61" s="3" t="inlineStr">
        <is>
          <t>12060</t>
        </is>
      </c>
      <c r="D61" s="9" t="n">
        <v>112</v>
      </c>
      <c r="E61" s="3" t="inlineStr">
        <is>
          <t>Entry gate</t>
        </is>
      </c>
      <c r="F61" s="3" t="inlineStr">
        <is>
          <t>703</t>
        </is>
      </c>
      <c r="G61" s="9" t="n">
        <v>766.25</v>
      </c>
      <c r="H61" s="10" t="n">
        <v>45668.30347222222</v>
      </c>
      <c r="I61" s="10" t="n">
        <v>45668.30347222222</v>
      </c>
      <c r="J61" s="10" t="n">
        <v>45668.30532407408</v>
      </c>
      <c r="K61" s="11" t="n">
        <v>0.001851851851851852</v>
      </c>
      <c r="L61" s="13" t="n"/>
    </row>
    <row r="62">
      <c r="A62" s="3" t="inlineStr">
        <is>
          <t>ArrivalDrive</t>
        </is>
      </c>
      <c r="B62" s="3" t="inlineStr">
        <is>
          <t>Act_ARRD_12061_120000_703</t>
        </is>
      </c>
      <c r="C62" s="3" t="inlineStr">
        <is>
          <t>12061</t>
        </is>
      </c>
      <c r="D62" s="9" t="n">
        <v>112</v>
      </c>
      <c r="E62" s="3" t="inlineStr">
        <is>
          <t>Entry gate</t>
        </is>
      </c>
      <c r="F62" s="3" t="inlineStr">
        <is>
          <t>703</t>
        </is>
      </c>
      <c r="G62" s="9" t="n">
        <v>766.25</v>
      </c>
      <c r="H62" s="10" t="n">
        <v>45668.5</v>
      </c>
      <c r="I62" s="10" t="n">
        <v>45668.5</v>
      </c>
      <c r="J62" s="10" t="n">
        <v>45668.50185185186</v>
      </c>
      <c r="K62" s="11" t="n">
        <v>0.001851851851851852</v>
      </c>
      <c r="L62" s="13" t="n"/>
    </row>
    <row r="63">
      <c r="A63" s="3" t="inlineStr">
        <is>
          <t>ArrivalDrive</t>
        </is>
      </c>
      <c r="B63" s="3" t="inlineStr">
        <is>
          <t>Act_ARRD_12062_121700_703</t>
        </is>
      </c>
      <c r="C63" s="3" t="inlineStr">
        <is>
          <t>12062</t>
        </is>
      </c>
      <c r="D63" s="9" t="n">
        <v>144</v>
      </c>
      <c r="E63" s="3" t="inlineStr">
        <is>
          <t>Entry gate</t>
        </is>
      </c>
      <c r="F63" s="3" t="inlineStr">
        <is>
          <t>703</t>
        </is>
      </c>
      <c r="G63" s="9" t="n">
        <v>766.25</v>
      </c>
      <c r="H63" s="10" t="n">
        <v>45668.51180555556</v>
      </c>
      <c r="I63" s="10" t="n">
        <v>45668.51180555556</v>
      </c>
      <c r="J63" s="10" t="n">
        <v>45668.51372685185</v>
      </c>
      <c r="K63" s="11" t="n">
        <v>0.001921296296296296</v>
      </c>
      <c r="L63" s="13" t="n"/>
    </row>
    <row r="64">
      <c r="A64" s="3" t="inlineStr">
        <is>
          <t>ArrivalDrive</t>
        </is>
      </c>
      <c r="B64" s="3" t="inlineStr">
        <is>
          <t>Act_ARRD_12063_123100_727</t>
        </is>
      </c>
      <c r="C64" s="3" t="inlineStr">
        <is>
          <t>12063</t>
        </is>
      </c>
      <c r="D64" s="9" t="n">
        <v>112</v>
      </c>
      <c r="E64" s="3" t="inlineStr">
        <is>
          <t>Entry gate</t>
        </is>
      </c>
      <c r="F64" s="3" t="inlineStr">
        <is>
          <t>727</t>
        </is>
      </c>
      <c r="G64" s="9" t="n">
        <v>556.2</v>
      </c>
      <c r="H64" s="10" t="n">
        <v>45668.52152777778</v>
      </c>
      <c r="I64" s="10" t="n">
        <v>45668.52152777778</v>
      </c>
      <c r="J64" s="10" t="n">
        <v>45668.52293981481</v>
      </c>
      <c r="K64" s="11" t="n">
        <v>0.001412037037037037</v>
      </c>
      <c r="L64" s="13" t="n"/>
    </row>
    <row r="65">
      <c r="A65" s="3" t="inlineStr">
        <is>
          <t>ArrivalDrive</t>
        </is>
      </c>
      <c r="B65" s="3" t="inlineStr">
        <is>
          <t>Act_ARRD_12064_123600_703</t>
        </is>
      </c>
      <c r="C65" s="3" t="inlineStr">
        <is>
          <t>12064</t>
        </is>
      </c>
      <c r="D65" s="9" t="n">
        <v>128</v>
      </c>
      <c r="E65" s="3" t="inlineStr">
        <is>
          <t>Entry gate</t>
        </is>
      </c>
      <c r="F65" s="3" t="inlineStr">
        <is>
          <t>703</t>
        </is>
      </c>
      <c r="G65" s="9" t="n">
        <v>766.25</v>
      </c>
      <c r="H65" s="10" t="n">
        <v>45668.525</v>
      </c>
      <c r="I65" s="10" t="n">
        <v>45668.525</v>
      </c>
      <c r="J65" s="10" t="n">
        <v>45668.52688657407</v>
      </c>
      <c r="K65" s="11" t="n">
        <v>0.001886574074074074</v>
      </c>
      <c r="L65" s="13" t="n"/>
    </row>
    <row r="66">
      <c r="A66" s="3" t="inlineStr">
        <is>
          <t>ArrivalDrive</t>
        </is>
      </c>
      <c r="B66" s="3" t="inlineStr">
        <is>
          <t>Act_ARRD_12065_125200_727</t>
        </is>
      </c>
      <c r="C66" s="3" t="inlineStr">
        <is>
          <t>12065</t>
        </is>
      </c>
      <c r="D66" s="9" t="n">
        <v>208</v>
      </c>
      <c r="E66" s="3" t="inlineStr">
        <is>
          <t>Entry gate</t>
        </is>
      </c>
      <c r="F66" s="3" t="inlineStr">
        <is>
          <t>727</t>
        </is>
      </c>
      <c r="G66" s="9" t="n">
        <v>556.2</v>
      </c>
      <c r="H66" s="10" t="n">
        <v>45668.53611111111</v>
      </c>
      <c r="I66" s="10" t="n">
        <v>45668.53611111111</v>
      </c>
      <c r="J66" s="10" t="n">
        <v>45668.53774305555</v>
      </c>
      <c r="K66" s="11" t="n">
        <v>0.001631944444444445</v>
      </c>
      <c r="L66" s="13" t="n"/>
    </row>
    <row r="67">
      <c r="A67" s="3" t="inlineStr">
        <is>
          <t>ArrivalDrive</t>
        </is>
      </c>
      <c r="B67" s="3" t="inlineStr">
        <is>
          <t>Act_ARRD_12066_130400_703</t>
        </is>
      </c>
      <c r="C67" s="3" t="inlineStr">
        <is>
          <t>12066</t>
        </is>
      </c>
      <c r="D67" s="9" t="n">
        <v>96</v>
      </c>
      <c r="E67" s="3" t="inlineStr">
        <is>
          <t>Entry gate</t>
        </is>
      </c>
      <c r="F67" s="3" t="inlineStr">
        <is>
          <t>703</t>
        </is>
      </c>
      <c r="G67" s="9" t="n">
        <v>766.25</v>
      </c>
      <c r="H67" s="10" t="n">
        <v>45668.54444444444</v>
      </c>
      <c r="I67" s="10" t="n">
        <v>45668.54444444444</v>
      </c>
      <c r="J67" s="10" t="n">
        <v>45668.54626157408</v>
      </c>
      <c r="K67" s="11" t="n">
        <v>0.00181712962962963</v>
      </c>
      <c r="L67" s="13" t="n"/>
    </row>
    <row r="68">
      <c r="A68" s="3" t="inlineStr">
        <is>
          <t>ArrivalDrive</t>
        </is>
      </c>
      <c r="B68" s="3" t="inlineStr">
        <is>
          <t>Act_ARRD_12067_180000_703</t>
        </is>
      </c>
      <c r="C68" s="3" t="inlineStr">
        <is>
          <t>12067</t>
        </is>
      </c>
      <c r="D68" s="9" t="n">
        <v>80</v>
      </c>
      <c r="E68" s="3" t="inlineStr">
        <is>
          <t>Entry gate</t>
        </is>
      </c>
      <c r="F68" s="3" t="inlineStr">
        <is>
          <t>703</t>
        </is>
      </c>
      <c r="G68" s="9" t="n">
        <v>766.25</v>
      </c>
      <c r="H68" s="10" t="n">
        <v>45668.75</v>
      </c>
      <c r="I68" s="10" t="n">
        <v>45668.75</v>
      </c>
      <c r="J68" s="10" t="n">
        <v>45668.75177083333</v>
      </c>
      <c r="K68" s="11" t="n">
        <v>0.001770833333333333</v>
      </c>
      <c r="L68" s="13" t="n"/>
    </row>
    <row r="69">
      <c r="A69" s="3" t="inlineStr">
        <is>
          <t>ArrivalDrive</t>
        </is>
      </c>
      <c r="B69" s="3" t="inlineStr">
        <is>
          <t>Act_ARRD_12068_210000_703</t>
        </is>
      </c>
      <c r="C69" s="3" t="inlineStr">
        <is>
          <t>12068</t>
        </is>
      </c>
      <c r="D69" s="9" t="n">
        <v>304</v>
      </c>
      <c r="E69" s="3" t="inlineStr">
        <is>
          <t>Entry gate</t>
        </is>
      </c>
      <c r="F69" s="3" t="inlineStr">
        <is>
          <t>703</t>
        </is>
      </c>
      <c r="G69" s="9" t="n">
        <v>766.25</v>
      </c>
      <c r="H69" s="10" t="n">
        <v>45668.875</v>
      </c>
      <c r="I69" s="10" t="n">
        <v>45668.875</v>
      </c>
      <c r="J69" s="10" t="n">
        <v>45668.87729166666</v>
      </c>
      <c r="K69" s="11" t="n">
        <v>0.002291666666666667</v>
      </c>
      <c r="L69" s="13" t="n"/>
    </row>
    <row r="70">
      <c r="A70" s="3" t="inlineStr">
        <is>
          <t>ArrivalDrive</t>
        </is>
      </c>
      <c r="B70" s="3" t="inlineStr">
        <is>
          <t>Act_ARRD_12069_233000_703</t>
        </is>
      </c>
      <c r="C70" s="3" t="inlineStr">
        <is>
          <t>12069</t>
        </is>
      </c>
      <c r="D70" s="9" t="n">
        <v>160</v>
      </c>
      <c r="E70" s="3" t="inlineStr">
        <is>
          <t>Entry gate</t>
        </is>
      </c>
      <c r="F70" s="3" t="inlineStr">
        <is>
          <t>703</t>
        </is>
      </c>
      <c r="G70" s="9" t="n">
        <v>766.25</v>
      </c>
      <c r="H70" s="10" t="n">
        <v>45668.97916666666</v>
      </c>
      <c r="I70" s="10" t="n">
        <v>45668.97916666666</v>
      </c>
      <c r="J70" s="10" t="n">
        <v>45668.98112268518</v>
      </c>
      <c r="K70" s="11" t="n">
        <v>0.001956018518518518</v>
      </c>
      <c r="L70" s="13" t="n"/>
    </row>
    <row r="71">
      <c r="A71" s="3" t="inlineStr">
        <is>
          <t>ArrivalDrive</t>
        </is>
      </c>
      <c r="B71" s="3" t="inlineStr">
        <is>
          <t>Act_ARRD_12070_080000_703</t>
        </is>
      </c>
      <c r="C71" s="3" t="inlineStr">
        <is>
          <t>12070</t>
        </is>
      </c>
      <c r="D71" s="9" t="n">
        <v>208</v>
      </c>
      <c r="E71" s="3" t="inlineStr">
        <is>
          <t>Entry gate</t>
        </is>
      </c>
      <c r="F71" s="3" t="inlineStr">
        <is>
          <t>703</t>
        </is>
      </c>
      <c r="G71" s="9" t="n">
        <v>766.25</v>
      </c>
      <c r="H71" s="10" t="n">
        <v>45669.33333333334</v>
      </c>
      <c r="I71" s="10" t="n">
        <v>45669.33333333334</v>
      </c>
      <c r="J71" s="10" t="n">
        <v>45669.33540509259</v>
      </c>
      <c r="K71" s="11" t="n">
        <v>0.002071759259259259</v>
      </c>
      <c r="L71" s="13" t="n"/>
    </row>
    <row r="72">
      <c r="A72" s="3" t="inlineStr">
        <is>
          <t>ArrivalDrive</t>
        </is>
      </c>
      <c r="B72" s="3" t="inlineStr">
        <is>
          <t>Act_ARRD_12071_092500_703</t>
        </is>
      </c>
      <c r="C72" s="3" t="inlineStr">
        <is>
          <t>12071</t>
        </is>
      </c>
      <c r="D72" s="9" t="n">
        <v>176</v>
      </c>
      <c r="E72" s="3" t="inlineStr">
        <is>
          <t>Entry gate</t>
        </is>
      </c>
      <c r="F72" s="3" t="inlineStr">
        <is>
          <t>703</t>
        </is>
      </c>
      <c r="G72" s="9" t="n">
        <v>766.25</v>
      </c>
      <c r="H72" s="10" t="n">
        <v>45669.39236111111</v>
      </c>
      <c r="I72" s="10" t="n">
        <v>45669.39236111111</v>
      </c>
      <c r="J72" s="10" t="n">
        <v>45669.39436342593</v>
      </c>
      <c r="K72" s="11" t="n">
        <v>0.002002314814814815</v>
      </c>
      <c r="L72" s="13" t="n"/>
    </row>
    <row r="73">
      <c r="A73" s="3" t="inlineStr">
        <is>
          <t>ArrivalDrive</t>
        </is>
      </c>
      <c r="B73" s="3" t="inlineStr">
        <is>
          <t>Act_ARRD_12072_100800_703</t>
        </is>
      </c>
      <c r="C73" s="3" t="inlineStr">
        <is>
          <t>12072</t>
        </is>
      </c>
      <c r="D73" s="9" t="n">
        <v>128</v>
      </c>
      <c r="E73" s="3" t="inlineStr">
        <is>
          <t>Entry gate</t>
        </is>
      </c>
      <c r="F73" s="3" t="inlineStr">
        <is>
          <t>703</t>
        </is>
      </c>
      <c r="G73" s="9" t="n">
        <v>766.25</v>
      </c>
      <c r="H73" s="10" t="n">
        <v>45669.42222222222</v>
      </c>
      <c r="I73" s="10" t="n">
        <v>45669.42222222222</v>
      </c>
      <c r="J73" s="10" t="n">
        <v>45669.42410879629</v>
      </c>
      <c r="K73" s="11" t="n">
        <v>0.001886574074074074</v>
      </c>
      <c r="L73" s="13" t="n"/>
    </row>
    <row r="74">
      <c r="A74" s="3" t="inlineStr">
        <is>
          <t>ArrivalDrive</t>
        </is>
      </c>
      <c r="B74" s="3" t="inlineStr">
        <is>
          <t>Act_ARRD_12073_105900_703</t>
        </is>
      </c>
      <c r="C74" s="3" t="inlineStr">
        <is>
          <t>12073</t>
        </is>
      </c>
      <c r="D74" s="9" t="n">
        <v>176</v>
      </c>
      <c r="E74" s="3" t="inlineStr">
        <is>
          <t>Entry gate</t>
        </is>
      </c>
      <c r="F74" s="3" t="inlineStr">
        <is>
          <t>703</t>
        </is>
      </c>
      <c r="G74" s="9" t="n">
        <v>766.25</v>
      </c>
      <c r="H74" s="10" t="n">
        <v>45669.45763888889</v>
      </c>
      <c r="I74" s="10" t="n">
        <v>45669.45763888889</v>
      </c>
      <c r="J74" s="10" t="n">
        <v>45669.45964120371</v>
      </c>
      <c r="K74" s="11" t="n">
        <v>0.002002314814814815</v>
      </c>
      <c r="L74" s="13" t="n"/>
    </row>
    <row r="75">
      <c r="A75" s="3" t="inlineStr">
        <is>
          <t>ArrivalDrive</t>
        </is>
      </c>
      <c r="B75" s="3" t="inlineStr">
        <is>
          <t>Act_ARRD_12074_114800_703</t>
        </is>
      </c>
      <c r="C75" s="3" t="inlineStr">
        <is>
          <t>12074</t>
        </is>
      </c>
      <c r="D75" s="9" t="n">
        <v>176</v>
      </c>
      <c r="E75" s="3" t="inlineStr">
        <is>
          <t>Entry gate</t>
        </is>
      </c>
      <c r="F75" s="3" t="inlineStr">
        <is>
          <t>703</t>
        </is>
      </c>
      <c r="G75" s="9" t="n">
        <v>766.25</v>
      </c>
      <c r="H75" s="10" t="n">
        <v>45669.49166666667</v>
      </c>
      <c r="I75" s="10" t="n">
        <v>45669.49166666667</v>
      </c>
      <c r="J75" s="10" t="n">
        <v>45669.49366898148</v>
      </c>
      <c r="K75" s="11" t="n">
        <v>0.002002314814814815</v>
      </c>
      <c r="L75" s="13" t="n"/>
    </row>
    <row r="76">
      <c r="A76" s="3" t="inlineStr">
        <is>
          <t>ArrivalDrive</t>
        </is>
      </c>
      <c r="B76" s="3" t="inlineStr">
        <is>
          <t>Act_ARRD_12075_160000_703</t>
        </is>
      </c>
      <c r="C76" s="3" t="inlineStr">
        <is>
          <t>12075</t>
        </is>
      </c>
      <c r="D76" s="9" t="n">
        <v>144</v>
      </c>
      <c r="E76" s="3" t="inlineStr">
        <is>
          <t>Entry gate</t>
        </is>
      </c>
      <c r="F76" s="3" t="inlineStr">
        <is>
          <t>703</t>
        </is>
      </c>
      <c r="G76" s="9" t="n">
        <v>766.25</v>
      </c>
      <c r="H76" s="10" t="n">
        <v>45669.66666666666</v>
      </c>
      <c r="I76" s="10" t="n">
        <v>45669.66666666666</v>
      </c>
      <c r="J76" s="10" t="n">
        <v>45669.66858796297</v>
      </c>
      <c r="K76" s="11" t="n">
        <v>0.001921296296296296</v>
      </c>
      <c r="L76" s="13" t="n"/>
    </row>
    <row r="77">
      <c r="A77" s="3" t="inlineStr">
        <is>
          <t>ArrivalDrive</t>
        </is>
      </c>
      <c r="B77" s="3" t="inlineStr">
        <is>
          <t>Act_ARRD_12076_190000_703</t>
        </is>
      </c>
      <c r="C77" s="3" t="inlineStr">
        <is>
          <t>12076</t>
        </is>
      </c>
      <c r="D77" s="9" t="n">
        <v>160</v>
      </c>
      <c r="E77" s="3" t="inlineStr">
        <is>
          <t>Entry gate</t>
        </is>
      </c>
      <c r="F77" s="3" t="inlineStr">
        <is>
          <t>703</t>
        </is>
      </c>
      <c r="G77" s="9" t="n">
        <v>766.25</v>
      </c>
      <c r="H77" s="10" t="n">
        <v>45669.79166666666</v>
      </c>
      <c r="I77" s="10" t="n">
        <v>45669.79166666666</v>
      </c>
      <c r="J77" s="10" t="n">
        <v>45669.79362268518</v>
      </c>
      <c r="K77" s="11" t="n">
        <v>0.001956018518518518</v>
      </c>
      <c r="L77" s="13" t="n"/>
    </row>
    <row r="78">
      <c r="A78" s="3" t="inlineStr">
        <is>
          <t>ArrivalDrive</t>
        </is>
      </c>
      <c r="B78" s="3" t="inlineStr">
        <is>
          <t>Act_ARRD_12077_220000_703</t>
        </is>
      </c>
      <c r="C78" s="3" t="inlineStr">
        <is>
          <t>12077</t>
        </is>
      </c>
      <c r="D78" s="9" t="n">
        <v>224</v>
      </c>
      <c r="E78" s="3" t="inlineStr">
        <is>
          <t>Entry gate</t>
        </is>
      </c>
      <c r="F78" s="3" t="inlineStr">
        <is>
          <t>703</t>
        </is>
      </c>
      <c r="G78" s="9" t="n">
        <v>766.25</v>
      </c>
      <c r="H78" s="10" t="n">
        <v>45669.91666666666</v>
      </c>
      <c r="I78" s="10" t="n">
        <v>45669.91666666666</v>
      </c>
      <c r="J78" s="10" t="n">
        <v>45669.91877314815</v>
      </c>
      <c r="K78" s="11" t="n">
        <v>0.002106481481481481</v>
      </c>
      <c r="L78" s="13" t="n"/>
    </row>
    <row r="79">
      <c r="A79" s="3" t="inlineStr">
        <is>
          <t>Coupling</t>
        </is>
      </c>
      <c r="B79" s="3" t="inlineStr">
        <is>
          <t>Act_COP_1200204_051756_615</t>
        </is>
      </c>
      <c r="C79" s="3" t="inlineStr">
        <is>
          <t>1200204</t>
        </is>
      </c>
      <c r="D79" s="9" t="n">
        <v>48</v>
      </c>
      <c r="E79" s="3" t="n"/>
      <c r="F79" s="3" t="n"/>
      <c r="G79" s="9" t="n"/>
      <c r="H79" s="10" t="n">
        <v>45663.22078703704</v>
      </c>
      <c r="I79" s="10" t="n">
        <v>45663.22163194444</v>
      </c>
      <c r="J79" s="10" t="n">
        <v>45663.22895833333</v>
      </c>
      <c r="K79" s="11" t="n">
        <v>0.007326388888888889</v>
      </c>
      <c r="L79" s="13" t="n"/>
    </row>
    <row r="80">
      <c r="A80" s="3" t="inlineStr">
        <is>
          <t>Coupling</t>
        </is>
      </c>
      <c r="B80" s="3" t="inlineStr">
        <is>
          <t>Act_COP_1200501_150117_605</t>
        </is>
      </c>
      <c r="C80" s="3" t="inlineStr">
        <is>
          <t>1200501</t>
        </is>
      </c>
      <c r="D80" s="9" t="n">
        <v>64</v>
      </c>
      <c r="E80" s="3" t="n"/>
      <c r="F80" s="3" t="n"/>
      <c r="G80" s="9" t="n"/>
      <c r="H80" s="10" t="n">
        <v>45663.6258912037</v>
      </c>
      <c r="I80" s="10" t="n">
        <v>45663.62667824074</v>
      </c>
      <c r="J80" s="10" t="n">
        <v>45663.63556712963</v>
      </c>
      <c r="K80" s="11" t="n">
        <v>0.008888888888888889</v>
      </c>
      <c r="L80" s="13" t="n"/>
    </row>
    <row r="81">
      <c r="A81" s="3" t="inlineStr">
        <is>
          <t>Coupling</t>
        </is>
      </c>
      <c r="B81" s="3" t="inlineStr">
        <is>
          <t>Act_COP_1200502+1200503_150310_615</t>
        </is>
      </c>
      <c r="C81" s="3" t="inlineStr">
        <is>
          <t>1200502+1200503</t>
        </is>
      </c>
      <c r="D81" s="9" t="n">
        <v>80</v>
      </c>
      <c r="E81" s="3" t="n"/>
      <c r="F81" s="3" t="n"/>
      <c r="G81" s="9" t="n"/>
      <c r="H81" s="10" t="n">
        <v>45663.62719907407</v>
      </c>
      <c r="I81" s="10" t="n">
        <v>45663.62803240741</v>
      </c>
      <c r="J81" s="10" t="n">
        <v>45663.64025462963</v>
      </c>
      <c r="K81" s="11" t="n">
        <v>0.01222222222222222</v>
      </c>
      <c r="L81" s="13" t="n"/>
    </row>
    <row r="82">
      <c r="A82" s="3" t="inlineStr">
        <is>
          <t>Coupling</t>
        </is>
      </c>
      <c r="B82" s="3" t="inlineStr">
        <is>
          <t>Act_COP_1200504_150542_605</t>
        </is>
      </c>
      <c r="C82" s="3" t="inlineStr">
        <is>
          <t>1200504</t>
        </is>
      </c>
      <c r="D82" s="9" t="n">
        <v>32</v>
      </c>
      <c r="E82" s="3" t="n"/>
      <c r="F82" s="3" t="n"/>
      <c r="G82" s="9" t="n"/>
      <c r="H82" s="10" t="n">
        <v>45663.62895833333</v>
      </c>
      <c r="I82" s="10" t="n">
        <v>45663.62982638889</v>
      </c>
      <c r="J82" s="10" t="n">
        <v>45663.63472222222</v>
      </c>
      <c r="K82" s="11" t="n">
        <v>0.004895833333333334</v>
      </c>
      <c r="L82" s="13" t="n"/>
    </row>
    <row r="83">
      <c r="A83" s="3" t="inlineStr">
        <is>
          <t>Coupling</t>
        </is>
      </c>
      <c r="B83" s="3" t="inlineStr">
        <is>
          <t>Act_COP_1200601_061326_613</t>
        </is>
      </c>
      <c r="C83" s="3" t="inlineStr">
        <is>
          <t>1200601</t>
        </is>
      </c>
      <c r="D83" s="9" t="n">
        <v>48</v>
      </c>
      <c r="E83" s="3" t="n"/>
      <c r="F83" s="3" t="n"/>
      <c r="G83" s="9" t="n"/>
      <c r="H83" s="10" t="n">
        <v>45664.2593287037</v>
      </c>
      <c r="I83" s="10" t="n">
        <v>45664.26019675926</v>
      </c>
      <c r="J83" s="10" t="n">
        <v>45664.26753472222</v>
      </c>
      <c r="K83" s="11" t="n">
        <v>0.007337962962962963</v>
      </c>
      <c r="L83" s="13" t="n"/>
    </row>
    <row r="84">
      <c r="A84" s="3" t="inlineStr">
        <is>
          <t>Coupling</t>
        </is>
      </c>
      <c r="B84" s="3" t="inlineStr">
        <is>
          <t>Act_COP_1200602+1200603_061641_625</t>
        </is>
      </c>
      <c r="C84" s="3" t="inlineStr">
        <is>
          <t>1200602+1200603</t>
        </is>
      </c>
      <c r="D84" s="9" t="n">
        <v>112</v>
      </c>
      <c r="E84" s="3" t="n"/>
      <c r="F84" s="3" t="n"/>
      <c r="G84" s="9" t="n"/>
      <c r="H84" s="10" t="n">
        <v>45664.26158564815</v>
      </c>
      <c r="I84" s="10" t="n">
        <v>45664.26237268518</v>
      </c>
      <c r="J84" s="10" t="n">
        <v>45664.27792824074</v>
      </c>
      <c r="K84" s="11" t="n">
        <v>0.01555555555555556</v>
      </c>
      <c r="L84" s="13" t="n"/>
    </row>
    <row r="85">
      <c r="A85" s="3" t="inlineStr">
        <is>
          <t>Coupling</t>
        </is>
      </c>
      <c r="B85" s="3" t="inlineStr">
        <is>
          <t>Act_COP_1200803_064330_605</t>
        </is>
      </c>
      <c r="C85" s="3" t="inlineStr">
        <is>
          <t>1200803</t>
        </is>
      </c>
      <c r="D85" s="9" t="n">
        <v>64</v>
      </c>
      <c r="E85" s="3" t="n"/>
      <c r="F85" s="3" t="n"/>
      <c r="G85" s="9" t="n"/>
      <c r="H85" s="10" t="n">
        <v>45664.28020833333</v>
      </c>
      <c r="I85" s="10" t="n">
        <v>45664.28099537037</v>
      </c>
      <c r="J85" s="10" t="n">
        <v>45664.28988425926</v>
      </c>
      <c r="K85" s="11" t="n">
        <v>0.008888888888888889</v>
      </c>
      <c r="L85" s="13" t="n"/>
    </row>
    <row r="86">
      <c r="A86" s="3" t="inlineStr">
        <is>
          <t>Coupling</t>
        </is>
      </c>
      <c r="B86" s="3" t="inlineStr">
        <is>
          <t>Act_COP_1200901_065102_627</t>
        </is>
      </c>
      <c r="C86" s="3" t="inlineStr">
        <is>
          <t>1200901</t>
        </is>
      </c>
      <c r="D86" s="9" t="n">
        <v>32</v>
      </c>
      <c r="E86" s="3" t="n"/>
      <c r="F86" s="3" t="n"/>
      <c r="G86" s="9" t="n"/>
      <c r="H86" s="10" t="n">
        <v>45664.28543981481</v>
      </c>
      <c r="I86" s="10" t="n">
        <v>45664.28912037037</v>
      </c>
      <c r="J86" s="10" t="n">
        <v>45664.29400462963</v>
      </c>
      <c r="K86" s="11" t="n">
        <v>0.004884259259259259</v>
      </c>
      <c r="L86" s="13" t="n"/>
    </row>
    <row r="87">
      <c r="A87" s="3" t="inlineStr">
        <is>
          <t>Coupling</t>
        </is>
      </c>
      <c r="B87" s="3" t="inlineStr">
        <is>
          <t>Act_COP_1201101+1201102_071429_606</t>
        </is>
      </c>
      <c r="C87" s="3" t="inlineStr">
        <is>
          <t>1201101+1201102</t>
        </is>
      </c>
      <c r="D87" s="9" t="n">
        <v>80</v>
      </c>
      <c r="E87" s="3" t="n"/>
      <c r="F87" s="3" t="n"/>
      <c r="G87" s="9" t="n"/>
      <c r="H87" s="10" t="n">
        <v>45664.30172453704</v>
      </c>
      <c r="I87" s="10" t="n">
        <v>45664.30324074074</v>
      </c>
      <c r="J87" s="10" t="n">
        <v>45664.31546296296</v>
      </c>
      <c r="K87" s="11" t="n">
        <v>0.01222222222222222</v>
      </c>
      <c r="L87" s="13" t="n"/>
    </row>
    <row r="88">
      <c r="A88" s="3" t="inlineStr">
        <is>
          <t>Coupling</t>
        </is>
      </c>
      <c r="B88" s="3" t="inlineStr">
        <is>
          <t>Act_COP_1201103+1201104_071718_623</t>
        </is>
      </c>
      <c r="C88" s="3" t="inlineStr">
        <is>
          <t>1201103+1201104</t>
        </is>
      </c>
      <c r="D88" s="9" t="n">
        <v>112</v>
      </c>
      <c r="E88" s="3" t="n"/>
      <c r="F88" s="3" t="n"/>
      <c r="G88" s="9" t="n"/>
      <c r="H88" s="10" t="n">
        <v>45664.30368055555</v>
      </c>
      <c r="I88" s="10" t="n">
        <v>45664.30653935186</v>
      </c>
      <c r="J88" s="10" t="n">
        <v>45664.32365740741</v>
      </c>
      <c r="K88" s="11" t="n">
        <v>0.01711805555555556</v>
      </c>
      <c r="L88" s="13" t="n"/>
    </row>
    <row r="89">
      <c r="A89" s="3" t="inlineStr">
        <is>
          <t>Coupling</t>
        </is>
      </c>
      <c r="B89" s="3" t="inlineStr">
        <is>
          <t>Act_COP_1201301+1201302_164316_619</t>
        </is>
      </c>
      <c r="C89" s="3" t="inlineStr">
        <is>
          <t>1201301+1201302</t>
        </is>
      </c>
      <c r="D89" s="9" t="n">
        <v>80</v>
      </c>
      <c r="E89" s="3" t="n"/>
      <c r="F89" s="3" t="n"/>
      <c r="G89" s="9" t="n"/>
      <c r="H89" s="10" t="n">
        <v>45664.69671296296</v>
      </c>
      <c r="I89" s="10" t="n">
        <v>45664.69747685185</v>
      </c>
      <c r="J89" s="10" t="n">
        <v>45664.70858796296</v>
      </c>
      <c r="K89" s="11" t="n">
        <v>0.01111111111111111</v>
      </c>
      <c r="L89" s="13" t="n"/>
    </row>
    <row r="90">
      <c r="A90" s="3" t="inlineStr">
        <is>
          <t>Coupling</t>
        </is>
      </c>
      <c r="B90" s="3" t="inlineStr">
        <is>
          <t>Act_COP_1201501_055437_613</t>
        </is>
      </c>
      <c r="C90" s="3" t="inlineStr">
        <is>
          <t>1201501</t>
        </is>
      </c>
      <c r="D90" s="9" t="n">
        <v>32</v>
      </c>
      <c r="E90" s="3" t="n"/>
      <c r="F90" s="3" t="n"/>
      <c r="G90" s="9" t="n"/>
      <c r="H90" s="10" t="n">
        <v>45665.24626157407</v>
      </c>
      <c r="I90" s="10" t="n">
        <v>45665.24702546297</v>
      </c>
      <c r="J90" s="10" t="n">
        <v>45665.25146990741</v>
      </c>
      <c r="K90" s="11" t="n">
        <v>0.004444444444444444</v>
      </c>
      <c r="L90" s="13" t="n"/>
    </row>
    <row r="91">
      <c r="A91" s="3" t="inlineStr">
        <is>
          <t>Coupling</t>
        </is>
      </c>
      <c r="B91" s="3" t="inlineStr">
        <is>
          <t>Act_COP_1201502+1201503_055633_615</t>
        </is>
      </c>
      <c r="C91" s="3" t="inlineStr">
        <is>
          <t>1201502+1201503</t>
        </is>
      </c>
      <c r="D91" s="9" t="n">
        <v>96</v>
      </c>
      <c r="E91" s="3" t="n"/>
      <c r="F91" s="3" t="n"/>
      <c r="G91" s="9" t="n"/>
      <c r="H91" s="10" t="n">
        <v>45665.24760416667</v>
      </c>
      <c r="I91" s="10" t="n">
        <v>45665.2484375</v>
      </c>
      <c r="J91" s="10" t="n">
        <v>45665.26311342593</v>
      </c>
      <c r="K91" s="11" t="n">
        <v>0.01467592592592593</v>
      </c>
      <c r="L91" s="13" t="n"/>
    </row>
    <row r="92">
      <c r="A92" s="3" t="inlineStr">
        <is>
          <t>Coupling</t>
        </is>
      </c>
      <c r="B92" s="3" t="inlineStr">
        <is>
          <t>Act_COP_1201504_055833_613</t>
        </is>
      </c>
      <c r="C92" s="3" t="inlineStr">
        <is>
          <t>1201504</t>
        </is>
      </c>
      <c r="D92" s="9" t="n">
        <v>64</v>
      </c>
      <c r="E92" s="3" t="n"/>
      <c r="F92" s="3" t="n"/>
      <c r="G92" s="9" t="n"/>
      <c r="H92" s="10" t="n">
        <v>45665.24899305555</v>
      </c>
      <c r="I92" s="10" t="n">
        <v>45665.24983796296</v>
      </c>
      <c r="J92" s="10" t="n">
        <v>45665.25961805556</v>
      </c>
      <c r="K92" s="11" t="n">
        <v>0.009780092592592592</v>
      </c>
      <c r="L92" s="13" t="n"/>
    </row>
    <row r="93">
      <c r="A93" s="3" t="inlineStr">
        <is>
          <t>Coupling</t>
        </is>
      </c>
      <c r="B93" s="3" t="inlineStr">
        <is>
          <t>Act_COP_1201802+1201803+1201804+1201805_091644_625</t>
        </is>
      </c>
      <c r="C93" s="3" t="inlineStr">
        <is>
          <t>1201802+1201803+1201804+1201805</t>
        </is>
      </c>
      <c r="D93" s="9" t="n">
        <v>144</v>
      </c>
      <c r="E93" s="3" t="n"/>
      <c r="F93" s="3" t="n"/>
      <c r="G93" s="9" t="n"/>
      <c r="H93" s="10" t="n">
        <v>45665.38662037037</v>
      </c>
      <c r="I93" s="10" t="n">
        <v>45665.38748842593</v>
      </c>
      <c r="J93" s="10" t="n">
        <v>45665.40949074074</v>
      </c>
      <c r="K93" s="11" t="n">
        <v>0.02200231481481481</v>
      </c>
      <c r="L93" s="13" t="n"/>
    </row>
    <row r="94">
      <c r="A94" s="3" t="inlineStr">
        <is>
          <t>Coupling</t>
        </is>
      </c>
      <c r="B94" s="3" t="inlineStr">
        <is>
          <t>Act_COP_1201901+1201902+1201903_092129_605</t>
        </is>
      </c>
      <c r="C94" s="3" t="inlineStr">
        <is>
          <t>1201901+1201902+1201903</t>
        </is>
      </c>
      <c r="D94" s="9" t="n">
        <v>144</v>
      </c>
      <c r="E94" s="3" t="n"/>
      <c r="F94" s="3" t="n"/>
      <c r="G94" s="9" t="n"/>
      <c r="H94" s="10" t="n">
        <v>45665.38991898148</v>
      </c>
      <c r="I94" s="10" t="n">
        <v>45665.39076388889</v>
      </c>
      <c r="J94" s="10" t="n">
        <v>45665.41276620371</v>
      </c>
      <c r="K94" s="11" t="n">
        <v>0.02200231481481481</v>
      </c>
      <c r="L94" s="13" t="n"/>
    </row>
    <row r="95">
      <c r="A95" s="3" t="inlineStr">
        <is>
          <t>Coupling</t>
        </is>
      </c>
      <c r="B95" s="3" t="inlineStr">
        <is>
          <t>Act_COP_1202201+1202202+1202203_102020_613</t>
        </is>
      </c>
      <c r="C95" s="3" t="inlineStr">
        <is>
          <t>1202201+1202202+1202203</t>
        </is>
      </c>
      <c r="D95" s="9" t="n">
        <v>176</v>
      </c>
      <c r="E95" s="3" t="n"/>
      <c r="F95" s="3" t="n"/>
      <c r="G95" s="9" t="n"/>
      <c r="H95" s="10" t="n">
        <v>45665.43078703704</v>
      </c>
      <c r="I95" s="10" t="n">
        <v>45665.44248842593</v>
      </c>
      <c r="J95" s="10" t="n">
        <v>45665.46693287037</v>
      </c>
      <c r="K95" s="11" t="n">
        <v>0.02444444444444445</v>
      </c>
      <c r="L95" s="13" t="n"/>
    </row>
    <row r="96">
      <c r="A96" s="3" t="inlineStr">
        <is>
          <t>Coupling</t>
        </is>
      </c>
      <c r="B96" s="3" t="inlineStr">
        <is>
          <t>Act_COP_1202301_142919_606</t>
        </is>
      </c>
      <c r="C96" s="3" t="inlineStr">
        <is>
          <t>1202301</t>
        </is>
      </c>
      <c r="D96" s="9" t="n">
        <v>48</v>
      </c>
      <c r="E96" s="3" t="n"/>
      <c r="F96" s="3" t="n"/>
      <c r="G96" s="9" t="n"/>
      <c r="H96" s="10" t="n">
        <v>45665.60369212963</v>
      </c>
      <c r="I96" s="10" t="n">
        <v>45665.60456018519</v>
      </c>
      <c r="J96" s="10" t="n">
        <v>45665.61188657407</v>
      </c>
      <c r="K96" s="11" t="n">
        <v>0.007326388888888889</v>
      </c>
      <c r="L96" s="13" t="n"/>
    </row>
    <row r="97">
      <c r="A97" s="3" t="inlineStr">
        <is>
          <t>Coupling</t>
        </is>
      </c>
      <c r="B97" s="3" t="inlineStr">
        <is>
          <t>Act_COP_1202302+1202303_143118_615</t>
        </is>
      </c>
      <c r="C97" s="3" t="inlineStr">
        <is>
          <t>1202302+1202303</t>
        </is>
      </c>
      <c r="D97" s="9" t="n">
        <v>112</v>
      </c>
      <c r="E97" s="3" t="n"/>
      <c r="F97" s="3" t="n"/>
      <c r="G97" s="9" t="n"/>
      <c r="H97" s="10" t="n">
        <v>45665.60506944444</v>
      </c>
      <c r="I97" s="10" t="n">
        <v>45665.60592592593</v>
      </c>
      <c r="J97" s="10" t="n">
        <v>45665.62303240741</v>
      </c>
      <c r="K97" s="11" t="n">
        <v>0.01710648148148148</v>
      </c>
      <c r="L97" s="13" t="n"/>
    </row>
    <row r="98">
      <c r="A98" s="3" t="inlineStr">
        <is>
          <t>Coupling</t>
        </is>
      </c>
      <c r="B98" s="3" t="inlineStr">
        <is>
          <t>Act_COP_1202801_053505_615</t>
        </is>
      </c>
      <c r="C98" s="3" t="inlineStr">
        <is>
          <t>1202801</t>
        </is>
      </c>
      <c r="D98" s="9" t="n">
        <v>48</v>
      </c>
      <c r="E98" s="3" t="n"/>
      <c r="F98" s="3" t="n"/>
      <c r="G98" s="9" t="n"/>
      <c r="H98" s="10" t="n">
        <v>45666.23269675926</v>
      </c>
      <c r="I98" s="10" t="n">
        <v>45666.23353009259</v>
      </c>
      <c r="J98" s="10" t="n">
        <v>45666.24086805555</v>
      </c>
      <c r="K98" s="11" t="n">
        <v>0.007337962962962963</v>
      </c>
      <c r="L98" s="13" t="n"/>
    </row>
    <row r="99">
      <c r="A99" s="3" t="inlineStr">
        <is>
          <t>Coupling</t>
        </is>
      </c>
      <c r="B99" s="3" t="inlineStr">
        <is>
          <t>Act_COP_1202803_054032_627</t>
        </is>
      </c>
      <c r="C99" s="3" t="inlineStr">
        <is>
          <t>1202803</t>
        </is>
      </c>
      <c r="D99" s="9" t="n">
        <v>48</v>
      </c>
      <c r="E99" s="3" t="n"/>
      <c r="F99" s="3" t="n"/>
      <c r="G99" s="9" t="n"/>
      <c r="H99" s="10" t="n">
        <v>45666.23648148148</v>
      </c>
      <c r="I99" s="10" t="n">
        <v>45666.23725694444</v>
      </c>
      <c r="J99" s="10" t="n">
        <v>45666.24392361111</v>
      </c>
      <c r="K99" s="11" t="n">
        <v>0.006666666666666667</v>
      </c>
      <c r="L99" s="13" t="n"/>
    </row>
    <row r="100">
      <c r="A100" s="3" t="inlineStr">
        <is>
          <t>Coupling</t>
        </is>
      </c>
      <c r="B100" s="3" t="inlineStr">
        <is>
          <t>Act_COP_1202804_054304_605</t>
        </is>
      </c>
      <c r="C100" s="3" t="inlineStr">
        <is>
          <t>1202804</t>
        </is>
      </c>
      <c r="D100" s="9" t="n">
        <v>32</v>
      </c>
      <c r="E100" s="3" t="n"/>
      <c r="F100" s="3" t="n"/>
      <c r="G100" s="9" t="n"/>
      <c r="H100" s="10" t="n">
        <v>45666.23824074074</v>
      </c>
      <c r="I100" s="10" t="n">
        <v>45666.2391087963</v>
      </c>
      <c r="J100" s="10" t="n">
        <v>45666.24400462963</v>
      </c>
      <c r="K100" s="11" t="n">
        <v>0.004895833333333334</v>
      </c>
      <c r="L100" s="13" t="n"/>
    </row>
    <row r="101">
      <c r="A101" s="3" t="inlineStr">
        <is>
          <t>Coupling</t>
        </is>
      </c>
      <c r="B101" s="3" t="inlineStr">
        <is>
          <t>Act_COP_1202901+1202902+1202903+1202904_054645_613</t>
        </is>
      </c>
      <c r="C101" s="3" t="inlineStr">
        <is>
          <t>1202901+1202902+1202903+1202904</t>
        </is>
      </c>
      <c r="D101" s="9" t="n">
        <v>208</v>
      </c>
      <c r="E101" s="3" t="n"/>
      <c r="F101" s="3" t="n"/>
      <c r="G101" s="9" t="n"/>
      <c r="H101" s="10" t="n">
        <v>45666.24079861111</v>
      </c>
      <c r="I101" s="10" t="n">
        <v>45666.24159722222</v>
      </c>
      <c r="J101" s="10" t="n">
        <v>45666.27048611111</v>
      </c>
      <c r="K101" s="11" t="n">
        <v>0.02888888888888889</v>
      </c>
      <c r="L101" s="13" t="n"/>
    </row>
    <row r="102">
      <c r="A102" s="3" t="inlineStr">
        <is>
          <t>Coupling</t>
        </is>
      </c>
      <c r="B102" s="3" t="inlineStr">
        <is>
          <t>Act_COP_1203001+1203002+1203003_055036_605</t>
        </is>
      </c>
      <c r="C102" s="3" t="inlineStr">
        <is>
          <t>1203001+1203002+1203003</t>
        </is>
      </c>
      <c r="D102" s="9" t="n">
        <v>144</v>
      </c>
      <c r="E102" s="3" t="n"/>
      <c r="F102" s="3" t="n"/>
      <c r="G102" s="9" t="n"/>
      <c r="H102" s="10" t="n">
        <v>45666.24347222222</v>
      </c>
      <c r="I102" s="10" t="n">
        <v>45666.24497685185</v>
      </c>
      <c r="J102" s="10" t="n">
        <v>45666.26697916666</v>
      </c>
      <c r="K102" s="11" t="n">
        <v>0.02200231481481481</v>
      </c>
      <c r="L102" s="13" t="n"/>
    </row>
    <row r="103">
      <c r="A103" s="3" t="inlineStr">
        <is>
          <t>Coupling</t>
        </is>
      </c>
      <c r="B103" s="3" t="inlineStr">
        <is>
          <t>Act_COP_1203303_062748_607</t>
        </is>
      </c>
      <c r="C103" s="3" t="inlineStr">
        <is>
          <t>1203303</t>
        </is>
      </c>
      <c r="D103" s="9" t="n">
        <v>48</v>
      </c>
      <c r="E103" s="3" t="n"/>
      <c r="F103" s="3" t="n"/>
      <c r="G103" s="9" t="n"/>
      <c r="H103" s="10" t="n">
        <v>45666.26930555556</v>
      </c>
      <c r="I103" s="10" t="n">
        <v>45666.27783564815</v>
      </c>
      <c r="J103" s="10" t="n">
        <v>45666.28450231482</v>
      </c>
      <c r="K103" s="11" t="n">
        <v>0.006666666666666667</v>
      </c>
      <c r="L103" s="13" t="n"/>
    </row>
    <row r="104">
      <c r="A104" s="3" t="inlineStr">
        <is>
          <t>Coupling</t>
        </is>
      </c>
      <c r="B104" s="3" t="inlineStr">
        <is>
          <t>Act_COP_1203501_111754_613</t>
        </is>
      </c>
      <c r="C104" s="3" t="inlineStr">
        <is>
          <t>1203501</t>
        </is>
      </c>
      <c r="D104" s="9" t="n">
        <v>48</v>
      </c>
      <c r="E104" s="3" t="n"/>
      <c r="F104" s="3" t="n"/>
      <c r="G104" s="9" t="n"/>
      <c r="H104" s="10" t="n">
        <v>45666.47076388889</v>
      </c>
      <c r="I104" s="10" t="n">
        <v>45666.47163194444</v>
      </c>
      <c r="J104" s="10" t="n">
        <v>45666.47895833333</v>
      </c>
      <c r="K104" s="11" t="n">
        <v>0.007326388888888889</v>
      </c>
      <c r="L104" s="13" t="n"/>
    </row>
    <row r="105">
      <c r="A105" s="3" t="inlineStr">
        <is>
          <t>Coupling</t>
        </is>
      </c>
      <c r="B105" s="3" t="inlineStr">
        <is>
          <t>Act_COP_1203503+1203504_112301_613</t>
        </is>
      </c>
      <c r="C105" s="3" t="inlineStr">
        <is>
          <t>1203503+1203504</t>
        </is>
      </c>
      <c r="D105" s="9" t="n">
        <v>112</v>
      </c>
      <c r="E105" s="3" t="n"/>
      <c r="F105" s="3" t="n"/>
      <c r="G105" s="9" t="n"/>
      <c r="H105" s="10" t="n">
        <v>45666.47431712963</v>
      </c>
      <c r="I105" s="10" t="n">
        <v>45666.47518518518</v>
      </c>
      <c r="J105" s="10" t="n">
        <v>45666.49230324074</v>
      </c>
      <c r="K105" s="11" t="n">
        <v>0.01711805555555556</v>
      </c>
      <c r="L105" s="13" t="n"/>
    </row>
    <row r="106">
      <c r="A106" s="3" t="inlineStr">
        <is>
          <t>Coupling</t>
        </is>
      </c>
      <c r="B106" s="3" t="inlineStr">
        <is>
          <t>Act_COP_1203701_132216_625</t>
        </is>
      </c>
      <c r="C106" s="3" t="inlineStr">
        <is>
          <t>1203701</t>
        </is>
      </c>
      <c r="D106" s="9" t="n">
        <v>32</v>
      </c>
      <c r="E106" s="3" t="n"/>
      <c r="F106" s="3" t="n"/>
      <c r="G106" s="9" t="n"/>
      <c r="H106" s="10" t="n">
        <v>45666.55712962963</v>
      </c>
      <c r="I106" s="10" t="n">
        <v>45666.55799768519</v>
      </c>
      <c r="J106" s="10" t="n">
        <v>45666.56288194445</v>
      </c>
      <c r="K106" s="11" t="n">
        <v>0.004884259259259259</v>
      </c>
      <c r="L106" s="13" t="n"/>
    </row>
    <row r="107">
      <c r="A107" s="3" t="inlineStr">
        <is>
          <t>Coupling</t>
        </is>
      </c>
      <c r="B107" s="3" t="inlineStr">
        <is>
          <t>Act_COP_1203702+1203703_132410_615</t>
        </is>
      </c>
      <c r="C107" s="3" t="inlineStr">
        <is>
          <t>1203702+1203703</t>
        </is>
      </c>
      <c r="D107" s="9" t="n">
        <v>96</v>
      </c>
      <c r="E107" s="3" t="n"/>
      <c r="F107" s="3" t="n"/>
      <c r="G107" s="9" t="n"/>
      <c r="H107" s="10" t="n">
        <v>45666.55844907407</v>
      </c>
      <c r="I107" s="10" t="n">
        <v>45666.55923611111</v>
      </c>
      <c r="J107" s="10" t="n">
        <v>45666.57256944444</v>
      </c>
      <c r="K107" s="11" t="n">
        <v>0.01333333333333333</v>
      </c>
      <c r="L107" s="13" t="n"/>
    </row>
    <row r="108">
      <c r="A108" s="3" t="inlineStr">
        <is>
          <t>Coupling</t>
        </is>
      </c>
      <c r="B108" s="3" t="inlineStr">
        <is>
          <t>Act_COP_1203704_132702_619</t>
        </is>
      </c>
      <c r="C108" s="3" t="inlineStr">
        <is>
          <t>1203704</t>
        </is>
      </c>
      <c r="D108" s="9" t="n">
        <v>48</v>
      </c>
      <c r="E108" s="3" t="n"/>
      <c r="F108" s="3" t="n"/>
      <c r="G108" s="9" t="n"/>
      <c r="H108" s="10" t="n">
        <v>45666.56043981481</v>
      </c>
      <c r="I108" s="10" t="n">
        <v>45666.56130787037</v>
      </c>
      <c r="J108" s="10" t="n">
        <v>45666.56864583334</v>
      </c>
      <c r="K108" s="11" t="n">
        <v>0.007337962962962963</v>
      </c>
      <c r="L108" s="13" t="n"/>
    </row>
    <row r="109">
      <c r="A109" s="3" t="inlineStr">
        <is>
          <t>Coupling</t>
        </is>
      </c>
      <c r="B109" s="3" t="inlineStr">
        <is>
          <t>Act_COP_1203802_134047_625</t>
        </is>
      </c>
      <c r="C109" s="3" t="inlineStr">
        <is>
          <t>1203802</t>
        </is>
      </c>
      <c r="D109" s="9" t="n">
        <v>48</v>
      </c>
      <c r="E109" s="3" t="n"/>
      <c r="F109" s="3" t="n"/>
      <c r="G109" s="9" t="n"/>
      <c r="H109" s="10" t="n">
        <v>45666.56998842592</v>
      </c>
      <c r="I109" s="10" t="n">
        <v>45666.57085648148</v>
      </c>
      <c r="J109" s="10" t="n">
        <v>45666.57819444445</v>
      </c>
      <c r="K109" s="11" t="n">
        <v>0.007337962962962963</v>
      </c>
      <c r="L109" s="13" t="n"/>
    </row>
    <row r="110">
      <c r="A110" s="3" t="inlineStr">
        <is>
          <t>Coupling</t>
        </is>
      </c>
      <c r="B110" s="3" t="inlineStr">
        <is>
          <t>Act_COP_1204002_140826_623</t>
        </is>
      </c>
      <c r="C110" s="3" t="inlineStr">
        <is>
          <t>1204002</t>
        </is>
      </c>
      <c r="D110" s="9" t="n">
        <v>64</v>
      </c>
      <c r="E110" s="3" t="n"/>
      <c r="F110" s="3" t="n"/>
      <c r="G110" s="9" t="n"/>
      <c r="H110" s="10" t="n">
        <v>45666.58918981482</v>
      </c>
      <c r="I110" s="10" t="n">
        <v>45666.59424768519</v>
      </c>
      <c r="J110" s="10" t="n">
        <v>45666.60402777778</v>
      </c>
      <c r="K110" s="11" t="n">
        <v>0.009780092592592592</v>
      </c>
      <c r="L110" s="13" t="n"/>
    </row>
    <row r="111">
      <c r="A111" s="3" t="inlineStr">
        <is>
          <t>Coupling</t>
        </is>
      </c>
      <c r="B111" s="3" t="inlineStr">
        <is>
          <t>Act_COP_1204003_141042_609</t>
        </is>
      </c>
      <c r="C111" s="3" t="inlineStr">
        <is>
          <t>1204003</t>
        </is>
      </c>
      <c r="D111" s="9" t="n">
        <v>48</v>
      </c>
      <c r="E111" s="3" t="n"/>
      <c r="F111" s="3" t="n"/>
      <c r="G111" s="9" t="n"/>
      <c r="H111" s="10" t="n">
        <v>45666.59076388889</v>
      </c>
      <c r="I111" s="10" t="n">
        <v>45666.59616898148</v>
      </c>
      <c r="J111" s="10" t="n">
        <v>45666.60349537037</v>
      </c>
      <c r="K111" s="11" t="n">
        <v>0.007326388888888889</v>
      </c>
      <c r="L111" s="13" t="n"/>
    </row>
    <row r="112">
      <c r="A112" s="3" t="inlineStr">
        <is>
          <t>Coupling</t>
        </is>
      </c>
      <c r="B112" s="3" t="inlineStr">
        <is>
          <t>Act_COP_1204205_192559_613</t>
        </is>
      </c>
      <c r="C112" s="3" t="inlineStr">
        <is>
          <t>1204205</t>
        </is>
      </c>
      <c r="D112" s="9" t="n">
        <v>80</v>
      </c>
      <c r="E112" s="3" t="n"/>
      <c r="F112" s="3" t="n"/>
      <c r="G112" s="9" t="n"/>
      <c r="H112" s="10" t="n">
        <v>45666.80971064815</v>
      </c>
      <c r="I112" s="10" t="n">
        <v>45666.81055555555</v>
      </c>
      <c r="J112" s="10" t="n">
        <v>45666.82277777778</v>
      </c>
      <c r="K112" s="11" t="n">
        <v>0.01222222222222222</v>
      </c>
      <c r="L112" s="13" t="n"/>
    </row>
    <row r="113">
      <c r="A113" s="3" t="inlineStr">
        <is>
          <t>Coupling</t>
        </is>
      </c>
      <c r="B113" s="3" t="inlineStr">
        <is>
          <t>Act_COP_1204301+1204302+1204303+1204304_224413_605</t>
        </is>
      </c>
      <c r="C113" s="3" t="inlineStr">
        <is>
          <t>1204301+1204302+1204303+1204304</t>
        </is>
      </c>
      <c r="D113" s="9" t="n">
        <v>160</v>
      </c>
      <c r="E113" s="3" t="n"/>
      <c r="F113" s="3" t="n"/>
      <c r="G113" s="9" t="n"/>
      <c r="H113" s="10" t="n">
        <v>45666.94737268519</v>
      </c>
      <c r="I113" s="10" t="n">
        <v>45666.94824074074</v>
      </c>
      <c r="J113" s="10" t="n">
        <v>45666.97268518519</v>
      </c>
      <c r="K113" s="11" t="n">
        <v>0.02444444444444445</v>
      </c>
      <c r="L113" s="13" t="n"/>
    </row>
    <row r="114">
      <c r="A114" s="3" t="inlineStr">
        <is>
          <t>Coupling</t>
        </is>
      </c>
      <c r="B114" s="3" t="inlineStr">
        <is>
          <t>Act_COP_1204403_072002_606</t>
        </is>
      </c>
      <c r="C114" s="3" t="inlineStr">
        <is>
          <t>1204403</t>
        </is>
      </c>
      <c r="D114" s="9" t="n">
        <v>32</v>
      </c>
      <c r="E114" s="3" t="n"/>
      <c r="F114" s="3" t="n"/>
      <c r="G114" s="9" t="n"/>
      <c r="H114" s="10" t="n">
        <v>45667.3055787037</v>
      </c>
      <c r="I114" s="10" t="n">
        <v>45667.30644675926</v>
      </c>
      <c r="J114" s="10" t="n">
        <v>45667.31133101852</v>
      </c>
      <c r="K114" s="11" t="n">
        <v>0.004884259259259259</v>
      </c>
      <c r="L114" s="13" t="n"/>
    </row>
    <row r="115">
      <c r="A115" s="3" t="inlineStr">
        <is>
          <t>Coupling</t>
        </is>
      </c>
      <c r="B115" s="3" t="inlineStr">
        <is>
          <t>Act_COP_1204404_072148_615</t>
        </is>
      </c>
      <c r="C115" s="3" t="inlineStr">
        <is>
          <t>1204404</t>
        </is>
      </c>
      <c r="D115" s="9" t="n">
        <v>48</v>
      </c>
      <c r="E115" s="3" t="n"/>
      <c r="F115" s="3" t="n"/>
      <c r="G115" s="9" t="n"/>
      <c r="H115" s="10" t="n">
        <v>45667.30680555556</v>
      </c>
      <c r="I115" s="10" t="n">
        <v>45667.30766203703</v>
      </c>
      <c r="J115" s="10" t="n">
        <v>45667.31498842593</v>
      </c>
      <c r="K115" s="11" t="n">
        <v>0.007326388888888889</v>
      </c>
      <c r="L115" s="13" t="n"/>
    </row>
    <row r="116">
      <c r="A116" s="3" t="inlineStr">
        <is>
          <t>Coupling</t>
        </is>
      </c>
      <c r="B116" s="3" t="inlineStr">
        <is>
          <t>Act_COP_1204503_075541_627</t>
        </is>
      </c>
      <c r="C116" s="3" t="inlineStr">
        <is>
          <t>1204503</t>
        </is>
      </c>
      <c r="D116" s="9" t="n">
        <v>48</v>
      </c>
      <c r="E116" s="3" t="n"/>
      <c r="F116" s="3" t="n"/>
      <c r="G116" s="9" t="n"/>
      <c r="H116" s="10" t="n">
        <v>45667.33033564815</v>
      </c>
      <c r="I116" s="10" t="n">
        <v>45667.33109953703</v>
      </c>
      <c r="J116" s="10" t="n">
        <v>45667.3377662037</v>
      </c>
      <c r="K116" s="11" t="n">
        <v>0.006666666666666667</v>
      </c>
      <c r="L116" s="13" t="n"/>
    </row>
    <row r="117">
      <c r="A117" s="3" t="inlineStr">
        <is>
          <t>Coupling</t>
        </is>
      </c>
      <c r="B117" s="3" t="inlineStr">
        <is>
          <t>Act_COP_1204601_083602_613</t>
        </is>
      </c>
      <c r="C117" s="3" t="inlineStr">
        <is>
          <t>1204601</t>
        </is>
      </c>
      <c r="D117" s="9" t="n">
        <v>32</v>
      </c>
      <c r="E117" s="3" t="n"/>
      <c r="F117" s="3" t="n"/>
      <c r="G117" s="9" t="n"/>
      <c r="H117" s="10" t="n">
        <v>45667.35835648148</v>
      </c>
      <c r="I117" s="10" t="n">
        <v>45667.35913194445</v>
      </c>
      <c r="J117" s="10" t="n">
        <v>45667.36357638889</v>
      </c>
      <c r="K117" s="11" t="n">
        <v>0.004444444444444444</v>
      </c>
      <c r="L117" s="13" t="n"/>
    </row>
    <row r="118">
      <c r="A118" s="3" t="inlineStr">
        <is>
          <t>Coupling</t>
        </is>
      </c>
      <c r="B118" s="3" t="inlineStr">
        <is>
          <t>Act_COP_1204602_083843_623</t>
        </is>
      </c>
      <c r="C118" s="3" t="inlineStr">
        <is>
          <t>1204602</t>
        </is>
      </c>
      <c r="D118" s="9" t="n">
        <v>64</v>
      </c>
      <c r="E118" s="3" t="n"/>
      <c r="F118" s="3" t="n"/>
      <c r="G118" s="9" t="n"/>
      <c r="H118" s="10" t="n">
        <v>45667.36021990741</v>
      </c>
      <c r="I118" s="10" t="n">
        <v>45667.36108796296</v>
      </c>
      <c r="J118" s="10" t="n">
        <v>45667.37086805556</v>
      </c>
      <c r="K118" s="11" t="n">
        <v>0.009780092592592592</v>
      </c>
      <c r="L118" s="13" t="n"/>
    </row>
    <row r="119">
      <c r="A119" s="3" t="inlineStr">
        <is>
          <t>Coupling</t>
        </is>
      </c>
      <c r="B119" s="3" t="inlineStr">
        <is>
          <t>Act_COP_1204701_091749_615</t>
        </is>
      </c>
      <c r="C119" s="3" t="inlineStr">
        <is>
          <t>1204701</t>
        </is>
      </c>
      <c r="D119" s="9" t="n">
        <v>64</v>
      </c>
      <c r="E119" s="3" t="n"/>
      <c r="F119" s="3" t="n"/>
      <c r="G119" s="9" t="n"/>
      <c r="H119" s="10" t="n">
        <v>45667.38737268518</v>
      </c>
      <c r="I119" s="10" t="n">
        <v>45667.38824074074</v>
      </c>
      <c r="J119" s="10" t="n">
        <v>45667.39802083333</v>
      </c>
      <c r="K119" s="11" t="n">
        <v>0.009780092592592592</v>
      </c>
      <c r="L119" s="13" t="n"/>
    </row>
    <row r="120">
      <c r="A120" s="3" t="inlineStr">
        <is>
          <t>Coupling</t>
        </is>
      </c>
      <c r="B120" s="3" t="inlineStr">
        <is>
          <t>Act_COP_1204804_131800_625</t>
        </is>
      </c>
      <c r="C120" s="3" t="inlineStr">
        <is>
          <t>1204804</t>
        </is>
      </c>
      <c r="D120" s="9" t="n">
        <v>80</v>
      </c>
      <c r="E120" s="3" t="n"/>
      <c r="F120" s="3" t="n"/>
      <c r="G120" s="9" t="n"/>
      <c r="H120" s="10" t="n">
        <v>45667.55416666667</v>
      </c>
      <c r="I120" s="10" t="n">
        <v>45667.55494212963</v>
      </c>
      <c r="J120" s="10" t="n">
        <v>45667.56605324074</v>
      </c>
      <c r="K120" s="11" t="n">
        <v>0.01111111111111111</v>
      </c>
      <c r="L120" s="13" t="n"/>
    </row>
    <row r="121">
      <c r="A121" s="3" t="inlineStr">
        <is>
          <t>Coupling</t>
        </is>
      </c>
      <c r="B121" s="3" t="inlineStr">
        <is>
          <t>Act_COP_1204901_132427_619</t>
        </is>
      </c>
      <c r="C121" s="3" t="inlineStr">
        <is>
          <t>1204901</t>
        </is>
      </c>
      <c r="D121" s="9" t="n">
        <v>32</v>
      </c>
      <c r="E121" s="3" t="n"/>
      <c r="F121" s="3" t="n"/>
      <c r="G121" s="9" t="n"/>
      <c r="H121" s="10" t="n">
        <v>45667.55864583333</v>
      </c>
      <c r="I121" s="10" t="n">
        <v>45667.55951388889</v>
      </c>
      <c r="J121" s="10" t="n">
        <v>45667.56439814815</v>
      </c>
      <c r="K121" s="11" t="n">
        <v>0.004884259259259259</v>
      </c>
      <c r="L121" s="13" t="n"/>
    </row>
    <row r="122">
      <c r="A122" s="3" t="inlineStr">
        <is>
          <t>Coupling</t>
        </is>
      </c>
      <c r="B122" s="3" t="inlineStr">
        <is>
          <t>Act_COP_1204902_132702_623</t>
        </is>
      </c>
      <c r="C122" s="3" t="inlineStr">
        <is>
          <t>1204902</t>
        </is>
      </c>
      <c r="D122" s="9" t="n">
        <v>32</v>
      </c>
      <c r="E122" s="3" t="n"/>
      <c r="F122" s="3" t="n"/>
      <c r="G122" s="9" t="n"/>
      <c r="H122" s="10" t="n">
        <v>45667.56043981481</v>
      </c>
      <c r="I122" s="10" t="n">
        <v>45667.56127314815</v>
      </c>
      <c r="J122" s="10" t="n">
        <v>45667.56616898148</v>
      </c>
      <c r="K122" s="11" t="n">
        <v>0.004895833333333334</v>
      </c>
      <c r="L122" s="13" t="n"/>
    </row>
    <row r="123">
      <c r="A123" s="3" t="inlineStr">
        <is>
          <t>Coupling</t>
        </is>
      </c>
      <c r="B123" s="3" t="inlineStr">
        <is>
          <t>Act_COP_1204903_132957_619</t>
        </is>
      </c>
      <c r="C123" s="3" t="inlineStr">
        <is>
          <t>1204903</t>
        </is>
      </c>
      <c r="D123" s="9" t="n">
        <v>48</v>
      </c>
      <c r="E123" s="3" t="n"/>
      <c r="F123" s="3" t="n"/>
      <c r="G123" s="9" t="n"/>
      <c r="H123" s="10" t="n">
        <v>45667.56246527778</v>
      </c>
      <c r="I123" s="10" t="n">
        <v>45667.56333333333</v>
      </c>
      <c r="J123" s="10" t="n">
        <v>45667.57067129629</v>
      </c>
      <c r="K123" s="11" t="n">
        <v>0.007337962962962963</v>
      </c>
      <c r="L123" s="13" t="n"/>
    </row>
    <row r="124">
      <c r="A124" s="3" t="inlineStr">
        <is>
          <t>Coupling</t>
        </is>
      </c>
      <c r="B124" s="3" t="inlineStr">
        <is>
          <t>Act_COP_1204904+1204905_133245_605</t>
        </is>
      </c>
      <c r="C124" s="3" t="inlineStr">
        <is>
          <t>1204904+1204905</t>
        </is>
      </c>
      <c r="D124" s="9" t="n">
        <v>112</v>
      </c>
      <c r="E124" s="3" t="n"/>
      <c r="F124" s="3" t="n"/>
      <c r="G124" s="9" t="n"/>
      <c r="H124" s="10" t="n">
        <v>45667.56440972222</v>
      </c>
      <c r="I124" s="10" t="n">
        <v>45667.56520833333</v>
      </c>
      <c r="J124" s="10" t="n">
        <v>45667.58076388889</v>
      </c>
      <c r="K124" s="11" t="n">
        <v>0.01555555555555556</v>
      </c>
      <c r="L124" s="13" t="n"/>
    </row>
    <row r="125">
      <c r="A125" s="3" t="inlineStr">
        <is>
          <t>Coupling</t>
        </is>
      </c>
      <c r="B125" s="3" t="inlineStr">
        <is>
          <t>Act_COP_1205002_151737_613</t>
        </is>
      </c>
      <c r="C125" s="3" t="inlineStr">
        <is>
          <t>1205002</t>
        </is>
      </c>
      <c r="D125" s="9" t="n">
        <v>48</v>
      </c>
      <c r="E125" s="3" t="n"/>
      <c r="F125" s="3" t="n"/>
      <c r="G125" s="9" t="n"/>
      <c r="H125" s="10" t="n">
        <v>45667.6372337963</v>
      </c>
      <c r="I125" s="10" t="n">
        <v>45667.63810185185</v>
      </c>
      <c r="J125" s="10" t="n">
        <v>45667.64543981481</v>
      </c>
      <c r="K125" s="11" t="n">
        <v>0.007337962962962963</v>
      </c>
      <c r="L125" s="13" t="n"/>
    </row>
    <row r="126">
      <c r="A126" s="3" t="inlineStr">
        <is>
          <t>Coupling</t>
        </is>
      </c>
      <c r="B126" s="3" t="inlineStr">
        <is>
          <t>Act_COP_1205201_162941_607</t>
        </is>
      </c>
      <c r="C126" s="3" t="inlineStr">
        <is>
          <t>1205201</t>
        </is>
      </c>
      <c r="D126" s="9" t="n">
        <v>64</v>
      </c>
      <c r="E126" s="3" t="n"/>
      <c r="F126" s="3" t="n"/>
      <c r="G126" s="9" t="n"/>
      <c r="H126" s="10" t="n">
        <v>45667.68728009259</v>
      </c>
      <c r="I126" s="10" t="n">
        <v>45667.68811342592</v>
      </c>
      <c r="J126" s="10" t="n">
        <v>45667.69789351852</v>
      </c>
      <c r="K126" s="11" t="n">
        <v>0.009780092592592592</v>
      </c>
      <c r="L126" s="13" t="n"/>
    </row>
    <row r="127">
      <c r="A127" s="3" t="inlineStr">
        <is>
          <t>Coupling</t>
        </is>
      </c>
      <c r="B127" s="3" t="inlineStr">
        <is>
          <t>Act_COP_1205202_163223_606</t>
        </is>
      </c>
      <c r="C127" s="3" t="inlineStr">
        <is>
          <t>1205202</t>
        </is>
      </c>
      <c r="D127" s="9" t="n">
        <v>80</v>
      </c>
      <c r="E127" s="3" t="n"/>
      <c r="F127" s="3" t="n"/>
      <c r="G127" s="9" t="n"/>
      <c r="H127" s="10" t="n">
        <v>45667.68915509259</v>
      </c>
      <c r="I127" s="10" t="n">
        <v>45667.69</v>
      </c>
      <c r="J127" s="10" t="n">
        <v>45667.70222222222</v>
      </c>
      <c r="K127" s="11" t="n">
        <v>0.01222222222222222</v>
      </c>
      <c r="L127" s="13" t="n"/>
    </row>
    <row r="128">
      <c r="A128" s="3" t="inlineStr">
        <is>
          <t>Coupling</t>
        </is>
      </c>
      <c r="B128" s="3" t="inlineStr">
        <is>
          <t>Act_COP_1205203_163455_607</t>
        </is>
      </c>
      <c r="C128" s="3" t="inlineStr">
        <is>
          <t>1205203</t>
        </is>
      </c>
      <c r="D128" s="9" t="n">
        <v>80</v>
      </c>
      <c r="E128" s="3" t="n"/>
      <c r="F128" s="3" t="n"/>
      <c r="G128" s="9" t="n"/>
      <c r="H128" s="10" t="n">
        <v>45667.69091435185</v>
      </c>
      <c r="I128" s="10" t="n">
        <v>45667.6917824074</v>
      </c>
      <c r="J128" s="10" t="n">
        <v>45667.70400462963</v>
      </c>
      <c r="K128" s="11" t="n">
        <v>0.01222222222222222</v>
      </c>
      <c r="L128" s="13" t="n"/>
    </row>
    <row r="129">
      <c r="A129" s="3" t="inlineStr">
        <is>
          <t>Coupling</t>
        </is>
      </c>
      <c r="B129" s="3" t="inlineStr">
        <is>
          <t>Act_COP_1205302_171015_615</t>
        </is>
      </c>
      <c r="C129" s="3" t="inlineStr">
        <is>
          <t>1205302</t>
        </is>
      </c>
      <c r="D129" s="9" t="n">
        <v>32</v>
      </c>
      <c r="E129" s="3" t="n"/>
      <c r="F129" s="3" t="n"/>
      <c r="G129" s="9" t="n"/>
      <c r="H129" s="10" t="n">
        <v>45667.71545138889</v>
      </c>
      <c r="I129" s="10" t="n">
        <v>45667.71623842593</v>
      </c>
      <c r="J129" s="10" t="n">
        <v>45667.72068287037</v>
      </c>
      <c r="K129" s="11" t="n">
        <v>0.004444444444444444</v>
      </c>
      <c r="L129" s="13" t="n"/>
    </row>
    <row r="130">
      <c r="A130" s="3" t="inlineStr">
        <is>
          <t>Coupling</t>
        </is>
      </c>
      <c r="B130" s="3" t="inlineStr">
        <is>
          <t>Act_COP_1205303_171211_613</t>
        </is>
      </c>
      <c r="C130" s="3" t="inlineStr">
        <is>
          <t>1205303</t>
        </is>
      </c>
      <c r="D130" s="9" t="n">
        <v>48</v>
      </c>
      <c r="E130" s="3" t="n"/>
      <c r="F130" s="3" t="n"/>
      <c r="G130" s="9" t="n"/>
      <c r="H130" s="10" t="n">
        <v>45667.71679398148</v>
      </c>
      <c r="I130" s="10" t="n">
        <v>45667.72173611111</v>
      </c>
      <c r="J130" s="10" t="n">
        <v>45667.72907407407</v>
      </c>
      <c r="K130" s="11" t="n">
        <v>0.007337962962962963</v>
      </c>
      <c r="L130" s="13" t="n"/>
    </row>
    <row r="131">
      <c r="A131" s="3" t="inlineStr">
        <is>
          <t>Coupling</t>
        </is>
      </c>
      <c r="B131" s="3" t="inlineStr">
        <is>
          <t>Act_COP_1205503_225007_623</t>
        </is>
      </c>
      <c r="C131" s="3" t="inlineStr">
        <is>
          <t>1205503</t>
        </is>
      </c>
      <c r="D131" s="9" t="n">
        <v>32</v>
      </c>
      <c r="E131" s="3" t="n"/>
      <c r="F131" s="3" t="n"/>
      <c r="G131" s="9" t="n"/>
      <c r="H131" s="10" t="n">
        <v>45667.95146990741</v>
      </c>
      <c r="I131" s="10" t="n">
        <v>45667.95231481481</v>
      </c>
      <c r="J131" s="10" t="n">
        <v>45667.95719907407</v>
      </c>
      <c r="K131" s="11" t="n">
        <v>0.004884259259259259</v>
      </c>
      <c r="L131" s="13" t="n"/>
    </row>
    <row r="132">
      <c r="A132" s="3" t="inlineStr">
        <is>
          <t>Coupling</t>
        </is>
      </c>
      <c r="B132" s="3" t="inlineStr">
        <is>
          <t>Act_COP_1205601+1205602_061400_619</t>
        </is>
      </c>
      <c r="C132" s="3" t="inlineStr">
        <is>
          <t>1205601+1205602</t>
        </is>
      </c>
      <c r="D132" s="9" t="n">
        <v>112</v>
      </c>
      <c r="E132" s="3" t="n"/>
      <c r="F132" s="3" t="n"/>
      <c r="G132" s="9" t="n"/>
      <c r="H132" s="10" t="n">
        <v>45668.25972222222</v>
      </c>
      <c r="I132" s="10" t="n">
        <v>45668.26056712963</v>
      </c>
      <c r="J132" s="10" t="n">
        <v>45668.27768518519</v>
      </c>
      <c r="K132" s="11" t="n">
        <v>0.01711805555555556</v>
      </c>
      <c r="L132" s="13" t="n"/>
    </row>
    <row r="133">
      <c r="A133" s="3" t="inlineStr">
        <is>
          <t>Coupling</t>
        </is>
      </c>
      <c r="B133" s="3" t="inlineStr">
        <is>
          <t>Act_COP_1205701_062641_615</t>
        </is>
      </c>
      <c r="C133" s="3" t="inlineStr">
        <is>
          <t>1205701</t>
        </is>
      </c>
      <c r="D133" s="9" t="n">
        <v>48</v>
      </c>
      <c r="E133" s="3" t="n"/>
      <c r="F133" s="3" t="n"/>
      <c r="G133" s="9" t="n"/>
      <c r="H133" s="10" t="n">
        <v>45668.2685300926</v>
      </c>
      <c r="I133" s="10" t="n">
        <v>45668.26939814815</v>
      </c>
      <c r="J133" s="10" t="n">
        <v>45668.27672453703</v>
      </c>
      <c r="K133" s="11" t="n">
        <v>0.007326388888888889</v>
      </c>
      <c r="L133" s="13" t="n"/>
    </row>
    <row r="134">
      <c r="A134" s="3" t="inlineStr">
        <is>
          <t>Coupling</t>
        </is>
      </c>
      <c r="B134" s="3" t="inlineStr">
        <is>
          <t>Act_COP_1205801+1205802+1205803_064449_607</t>
        </is>
      </c>
      <c r="C134" s="3" t="inlineStr">
        <is>
          <t>1205801+1205802+1205803</t>
        </is>
      </c>
      <c r="D134" s="9" t="n">
        <v>128</v>
      </c>
      <c r="E134" s="3" t="n"/>
      <c r="F134" s="3" t="n"/>
      <c r="G134" s="9" t="n"/>
      <c r="H134" s="10" t="n">
        <v>45668.28112268518</v>
      </c>
      <c r="I134" s="10" t="n">
        <v>45668.28199074074</v>
      </c>
      <c r="J134" s="10" t="n">
        <v>45668.30153935185</v>
      </c>
      <c r="K134" s="11" t="n">
        <v>0.01954861111111111</v>
      </c>
      <c r="L134" s="13" t="n"/>
    </row>
    <row r="135">
      <c r="A135" s="3" t="inlineStr">
        <is>
          <t>Coupling</t>
        </is>
      </c>
      <c r="B135" s="3" t="inlineStr">
        <is>
          <t>Act_COP_1205901+1205902+1205903_070949_623</t>
        </is>
      </c>
      <c r="C135" s="3" t="inlineStr">
        <is>
          <t>1205901+1205902+1205903</t>
        </is>
      </c>
      <c r="D135" s="9" t="n">
        <v>112</v>
      </c>
      <c r="E135" s="3" t="n"/>
      <c r="F135" s="3" t="n"/>
      <c r="G135" s="9" t="n"/>
      <c r="H135" s="10" t="n">
        <v>45668.29848379629</v>
      </c>
      <c r="I135" s="10" t="n">
        <v>45668.29931712963</v>
      </c>
      <c r="J135" s="10" t="n">
        <v>45668.31642361111</v>
      </c>
      <c r="K135" s="11" t="n">
        <v>0.01710648148148148</v>
      </c>
      <c r="L135" s="13" t="n"/>
    </row>
    <row r="136">
      <c r="A136" s="3" t="inlineStr">
        <is>
          <t>Coupling</t>
        </is>
      </c>
      <c r="B136" s="3" t="inlineStr">
        <is>
          <t>Act_COP_1206001_073210_625</t>
        </is>
      </c>
      <c r="C136" s="3" t="inlineStr">
        <is>
          <t>1206001</t>
        </is>
      </c>
      <c r="D136" s="9" t="n">
        <v>32</v>
      </c>
      <c r="E136" s="3" t="n"/>
      <c r="F136" s="3" t="n"/>
      <c r="G136" s="9" t="n"/>
      <c r="H136" s="10" t="n">
        <v>45668.31400462963</v>
      </c>
      <c r="I136" s="10" t="n">
        <v>45668.31487268519</v>
      </c>
      <c r="J136" s="10" t="n">
        <v>45668.31975694445</v>
      </c>
      <c r="K136" s="11" t="n">
        <v>0.004884259259259259</v>
      </c>
      <c r="L136" s="13" t="n"/>
    </row>
    <row r="137">
      <c r="A137" s="3" t="inlineStr">
        <is>
          <t>Coupling</t>
        </is>
      </c>
      <c r="B137" s="3" t="inlineStr">
        <is>
          <t>Act_COP_1206002_073458_627</t>
        </is>
      </c>
      <c r="C137" s="3" t="inlineStr">
        <is>
          <t>1206002</t>
        </is>
      </c>
      <c r="D137" s="9" t="n">
        <v>32</v>
      </c>
      <c r="E137" s="3" t="n"/>
      <c r="F137" s="3" t="n"/>
      <c r="G137" s="9" t="n"/>
      <c r="H137" s="10" t="n">
        <v>45668.31594907407</v>
      </c>
      <c r="I137" s="10" t="n">
        <v>45668.31674768519</v>
      </c>
      <c r="J137" s="10" t="n">
        <v>45668.32119212963</v>
      </c>
      <c r="K137" s="11" t="n">
        <v>0.004444444444444444</v>
      </c>
      <c r="L137" s="13" t="n"/>
    </row>
    <row r="138">
      <c r="A138" s="3" t="inlineStr">
        <is>
          <t>Coupling</t>
        </is>
      </c>
      <c r="B138" s="3" t="inlineStr">
        <is>
          <t>Act_COP_1206102_121559_613</t>
        </is>
      </c>
      <c r="C138" s="3" t="inlineStr">
        <is>
          <t>1206102</t>
        </is>
      </c>
      <c r="D138" s="9" t="n">
        <v>32</v>
      </c>
      <c r="E138" s="3" t="n"/>
      <c r="F138" s="3" t="n"/>
      <c r="G138" s="9" t="n"/>
      <c r="H138" s="10" t="n">
        <v>45668.51109953703</v>
      </c>
      <c r="I138" s="10" t="n">
        <v>45668.5119675926</v>
      </c>
      <c r="J138" s="10" t="n">
        <v>45668.51686342592</v>
      </c>
      <c r="K138" s="11" t="n">
        <v>0.004895833333333334</v>
      </c>
      <c r="L138" s="13" t="n"/>
    </row>
    <row r="139">
      <c r="A139" s="3" t="inlineStr">
        <is>
          <t>Coupling</t>
        </is>
      </c>
      <c r="B139" s="3" t="inlineStr">
        <is>
          <t>Act_COP_1206201+1206202_123058_605</t>
        </is>
      </c>
      <c r="C139" s="3" t="inlineStr">
        <is>
          <t>1206201+1206202</t>
        </is>
      </c>
      <c r="D139" s="9" t="n">
        <v>112</v>
      </c>
      <c r="E139" s="3" t="n"/>
      <c r="F139" s="3" t="n"/>
      <c r="G139" s="9" t="n"/>
      <c r="H139" s="10" t="n">
        <v>45668.52150462963</v>
      </c>
      <c r="I139" s="10" t="n">
        <v>45668.52237268518</v>
      </c>
      <c r="J139" s="10" t="n">
        <v>45668.53949074074</v>
      </c>
      <c r="K139" s="11" t="n">
        <v>0.01711805555555556</v>
      </c>
      <c r="L139" s="13" t="n"/>
    </row>
    <row r="140">
      <c r="A140" s="3" t="inlineStr">
        <is>
          <t>Coupling</t>
        </is>
      </c>
      <c r="B140" s="3" t="inlineStr">
        <is>
          <t>Act_COP_1206203_123330_606</t>
        </is>
      </c>
      <c r="C140" s="3" t="inlineStr">
        <is>
          <t>1206203</t>
        </is>
      </c>
      <c r="D140" s="9" t="n">
        <v>32</v>
      </c>
      <c r="E140" s="3" t="n"/>
      <c r="F140" s="3" t="n"/>
      <c r="G140" s="9" t="n"/>
      <c r="H140" s="10" t="n">
        <v>45668.52326388889</v>
      </c>
      <c r="I140" s="10" t="n">
        <v>45668.52412037037</v>
      </c>
      <c r="J140" s="10" t="n">
        <v>45668.52900462963</v>
      </c>
      <c r="K140" s="11" t="n">
        <v>0.004884259259259259</v>
      </c>
      <c r="L140" s="13" t="n"/>
    </row>
    <row r="141">
      <c r="A141" s="3" t="inlineStr">
        <is>
          <t>Coupling</t>
        </is>
      </c>
      <c r="B141" s="3" t="inlineStr">
        <is>
          <t>Act_COP_1206301+1206302_124252_615</t>
        </is>
      </c>
      <c r="C141" s="3" t="inlineStr">
        <is>
          <t>1206301+1206302</t>
        </is>
      </c>
      <c r="D141" s="9" t="n">
        <v>112</v>
      </c>
      <c r="E141" s="3" t="n"/>
      <c r="F141" s="3" t="n"/>
      <c r="G141" s="9" t="n"/>
      <c r="H141" s="10" t="n">
        <v>45668.52976851852</v>
      </c>
      <c r="I141" s="10" t="n">
        <v>45668.53055555555</v>
      </c>
      <c r="J141" s="10" t="n">
        <v>45668.54611111111</v>
      </c>
      <c r="K141" s="11" t="n">
        <v>0.01555555555555556</v>
      </c>
      <c r="L141" s="13" t="n"/>
    </row>
    <row r="142">
      <c r="A142" s="3" t="inlineStr">
        <is>
          <t>Coupling</t>
        </is>
      </c>
      <c r="B142" s="3" t="inlineStr">
        <is>
          <t>Act_COP_1206401_125135_627</t>
        </is>
      </c>
      <c r="C142" s="3" t="inlineStr">
        <is>
          <t>1206401</t>
        </is>
      </c>
      <c r="D142" s="9" t="n">
        <v>48</v>
      </c>
      <c r="E142" s="3" t="n"/>
      <c r="F142" s="3" t="n"/>
      <c r="G142" s="9" t="n"/>
      <c r="H142" s="10" t="n">
        <v>45668.53582175926</v>
      </c>
      <c r="I142" s="10" t="n">
        <v>45668.53666666667</v>
      </c>
      <c r="J142" s="10" t="n">
        <v>45668.54399305556</v>
      </c>
      <c r="K142" s="11" t="n">
        <v>0.007326388888888889</v>
      </c>
      <c r="L142" s="13" t="n"/>
    </row>
    <row r="143">
      <c r="A143" s="3" t="inlineStr">
        <is>
          <t>Coupling</t>
        </is>
      </c>
      <c r="B143" s="3" t="inlineStr">
        <is>
          <t>Act_COP_1206402_125433_625</t>
        </is>
      </c>
      <c r="C143" s="3" t="inlineStr">
        <is>
          <t>1206402</t>
        </is>
      </c>
      <c r="D143" s="9" t="n">
        <v>32</v>
      </c>
      <c r="E143" s="3" t="n"/>
      <c r="F143" s="3" t="n"/>
      <c r="G143" s="9" t="n"/>
      <c r="H143" s="10" t="n">
        <v>45668.53788194444</v>
      </c>
      <c r="I143" s="10" t="n">
        <v>45668.53865740741</v>
      </c>
      <c r="J143" s="10" t="n">
        <v>45668.54310185185</v>
      </c>
      <c r="K143" s="11" t="n">
        <v>0.004444444444444444</v>
      </c>
      <c r="L143" s="13" t="n"/>
    </row>
    <row r="144">
      <c r="A144" s="3" t="inlineStr">
        <is>
          <t>Coupling</t>
        </is>
      </c>
      <c r="B144" s="3" t="inlineStr">
        <is>
          <t>Act_COP_1206504_131158_613</t>
        </is>
      </c>
      <c r="C144" s="3" t="inlineStr">
        <is>
          <t>1206504</t>
        </is>
      </c>
      <c r="D144" s="9" t="n">
        <v>80</v>
      </c>
      <c r="E144" s="3" t="n"/>
      <c r="F144" s="3" t="n"/>
      <c r="G144" s="9" t="n"/>
      <c r="H144" s="10" t="n">
        <v>45668.54997685185</v>
      </c>
      <c r="I144" s="10" t="n">
        <v>45668.55444444445</v>
      </c>
      <c r="J144" s="10" t="n">
        <v>45668.56666666667</v>
      </c>
      <c r="K144" s="11" t="n">
        <v>0.01222222222222222</v>
      </c>
      <c r="L144" s="13" t="n"/>
    </row>
    <row r="145">
      <c r="A145" s="3" t="inlineStr">
        <is>
          <t>Coupling</t>
        </is>
      </c>
      <c r="B145" s="3" t="inlineStr">
        <is>
          <t>Act_COP_1206701_181231_606</t>
        </is>
      </c>
      <c r="C145" s="3" t="inlineStr">
        <is>
          <t>1206701</t>
        </is>
      </c>
      <c r="D145" s="9" t="n">
        <v>32</v>
      </c>
      <c r="E145" s="3" t="n"/>
      <c r="F145" s="3" t="n"/>
      <c r="G145" s="9" t="n"/>
      <c r="H145" s="10" t="n">
        <v>45668.75869212963</v>
      </c>
      <c r="I145" s="10" t="n">
        <v>45668.75956018519</v>
      </c>
      <c r="J145" s="10" t="n">
        <v>45668.76445601852</v>
      </c>
      <c r="K145" s="11" t="n">
        <v>0.004895833333333334</v>
      </c>
      <c r="L145" s="13" t="n"/>
    </row>
    <row r="146">
      <c r="A146" s="3" t="inlineStr">
        <is>
          <t>Coupling</t>
        </is>
      </c>
      <c r="B146" s="3" t="inlineStr">
        <is>
          <t>Act_COP_1206801_211759_607</t>
        </is>
      </c>
      <c r="C146" s="3" t="inlineStr">
        <is>
          <t>1206801</t>
        </is>
      </c>
      <c r="D146" s="9" t="n">
        <v>64</v>
      </c>
      <c r="E146" s="3" t="n"/>
      <c r="F146" s="3" t="n"/>
      <c r="G146" s="9" t="n"/>
      <c r="H146" s="10" t="n">
        <v>45668.88748842593</v>
      </c>
      <c r="I146" s="10" t="n">
        <v>45668.88827546296</v>
      </c>
      <c r="J146" s="10" t="n">
        <v>45668.89716435185</v>
      </c>
      <c r="K146" s="11" t="n">
        <v>0.008888888888888889</v>
      </c>
      <c r="L146" s="13" t="n"/>
    </row>
    <row r="147">
      <c r="A147" s="3" t="inlineStr">
        <is>
          <t>Coupling</t>
        </is>
      </c>
      <c r="B147" s="3" t="inlineStr">
        <is>
          <t>Act_COP_1206802+1206803+1206804_212057_606</t>
        </is>
      </c>
      <c r="C147" s="3" t="inlineStr">
        <is>
          <t>1206802+1206803+1206804</t>
        </is>
      </c>
      <c r="D147" s="9" t="n">
        <v>160</v>
      </c>
      <c r="E147" s="3" t="n"/>
      <c r="F147" s="3" t="n"/>
      <c r="G147" s="9" t="n"/>
      <c r="H147" s="10" t="n">
        <v>45668.88954861111</v>
      </c>
      <c r="I147" s="10" t="n">
        <v>45668.89041666667</v>
      </c>
      <c r="J147" s="10" t="n">
        <v>45668.91486111111</v>
      </c>
      <c r="K147" s="11" t="n">
        <v>0.02444444444444445</v>
      </c>
      <c r="L147" s="13" t="n"/>
    </row>
    <row r="148">
      <c r="A148" s="3" t="inlineStr">
        <is>
          <t>Coupling</t>
        </is>
      </c>
      <c r="B148" s="3" t="inlineStr">
        <is>
          <t>Act_COP_1207001_081830_619</t>
        </is>
      </c>
      <c r="C148" s="3" t="inlineStr">
        <is>
          <t>1207001</t>
        </is>
      </c>
      <c r="D148" s="9" t="n">
        <v>32</v>
      </c>
      <c r="E148" s="3" t="n"/>
      <c r="F148" s="3" t="n"/>
      <c r="G148" s="9" t="n"/>
      <c r="H148" s="10" t="n">
        <v>45669.34618055556</v>
      </c>
      <c r="I148" s="10" t="n">
        <v>45669.34701388889</v>
      </c>
      <c r="J148" s="10" t="n">
        <v>45669.35190972222</v>
      </c>
      <c r="K148" s="11" t="n">
        <v>0.004895833333333334</v>
      </c>
      <c r="L148" s="13" t="n"/>
    </row>
    <row r="149">
      <c r="A149" s="3" t="inlineStr">
        <is>
          <t>Coupling</t>
        </is>
      </c>
      <c r="B149" s="3" t="inlineStr">
        <is>
          <t>Act_COP_1207002_082017_615</t>
        </is>
      </c>
      <c r="C149" s="3" t="inlineStr">
        <is>
          <t>1207002</t>
        </is>
      </c>
      <c r="D149" s="9" t="n">
        <v>48</v>
      </c>
      <c r="E149" s="3" t="n"/>
      <c r="F149" s="3" t="n"/>
      <c r="G149" s="9" t="n"/>
      <c r="H149" s="10" t="n">
        <v>45669.34741898148</v>
      </c>
      <c r="I149" s="10" t="n">
        <v>45669.34820601852</v>
      </c>
      <c r="J149" s="10" t="n">
        <v>45669.35487268519</v>
      </c>
      <c r="K149" s="11" t="n">
        <v>0.006666666666666667</v>
      </c>
      <c r="L149" s="13" t="n"/>
    </row>
    <row r="150">
      <c r="A150" s="3" t="inlineStr">
        <is>
          <t>Coupling</t>
        </is>
      </c>
      <c r="B150" s="3" t="inlineStr">
        <is>
          <t>Act_COP_1207003+1207004_082318_619</t>
        </is>
      </c>
      <c r="C150" s="3" t="inlineStr">
        <is>
          <t>1207003+1207004</t>
        </is>
      </c>
      <c r="D150" s="9" t="n">
        <v>80</v>
      </c>
      <c r="E150" s="3" t="n"/>
      <c r="F150" s="3" t="n"/>
      <c r="G150" s="9" t="n"/>
      <c r="H150" s="10" t="n">
        <v>45669.34951388889</v>
      </c>
      <c r="I150" s="10" t="n">
        <v>45669.3503587963</v>
      </c>
      <c r="J150" s="10" t="n">
        <v>45669.36258101852</v>
      </c>
      <c r="K150" s="11" t="n">
        <v>0.01222222222222222</v>
      </c>
      <c r="L150" s="13" t="n"/>
    </row>
    <row r="151">
      <c r="A151" s="3" t="inlineStr">
        <is>
          <t>Coupling</t>
        </is>
      </c>
      <c r="B151" s="3" t="inlineStr">
        <is>
          <t>Act_COP_1207005_082505_615</t>
        </is>
      </c>
      <c r="C151" s="3" t="inlineStr">
        <is>
          <t>1207005</t>
        </is>
      </c>
      <c r="D151" s="9" t="n">
        <v>48</v>
      </c>
      <c r="E151" s="3" t="n"/>
      <c r="F151" s="3" t="n"/>
      <c r="G151" s="9" t="n"/>
      <c r="H151" s="10" t="n">
        <v>45669.35075231481</v>
      </c>
      <c r="I151" s="10" t="n">
        <v>45669.35162037037</v>
      </c>
      <c r="J151" s="10" t="n">
        <v>45669.35895833333</v>
      </c>
      <c r="K151" s="11" t="n">
        <v>0.007337962962962963</v>
      </c>
      <c r="L151" s="13" t="n"/>
    </row>
    <row r="152">
      <c r="A152" s="3" t="inlineStr">
        <is>
          <t>Coupling</t>
        </is>
      </c>
      <c r="B152" s="3" t="inlineStr">
        <is>
          <t>Act_COP_1207101_094002_609</t>
        </is>
      </c>
      <c r="C152" s="3" t="inlineStr">
        <is>
          <t>1207101</t>
        </is>
      </c>
      <c r="D152" s="9" t="n">
        <v>80</v>
      </c>
      <c r="E152" s="3" t="n"/>
      <c r="F152" s="3" t="n"/>
      <c r="G152" s="9" t="n"/>
      <c r="H152" s="10" t="n">
        <v>45669.40280092593</v>
      </c>
      <c r="I152" s="10" t="n">
        <v>45669.40366898148</v>
      </c>
      <c r="J152" s="10" t="n">
        <v>45669.4158912037</v>
      </c>
      <c r="K152" s="11" t="n">
        <v>0.01222222222222222</v>
      </c>
      <c r="L152" s="13" t="n"/>
    </row>
    <row r="153">
      <c r="A153" s="3" t="inlineStr">
        <is>
          <t>Coupling</t>
        </is>
      </c>
      <c r="B153" s="3" t="inlineStr">
        <is>
          <t>Act_COP_1207102_094303_625</t>
        </is>
      </c>
      <c r="C153" s="3" t="inlineStr">
        <is>
          <t>1207102</t>
        </is>
      </c>
      <c r="D153" s="9" t="n">
        <v>48</v>
      </c>
      <c r="E153" s="3" t="n"/>
      <c r="F153" s="3" t="n"/>
      <c r="G153" s="9" t="n"/>
      <c r="H153" s="10" t="n">
        <v>45669.40489583334</v>
      </c>
      <c r="I153" s="10" t="n">
        <v>45669.4056712963</v>
      </c>
      <c r="J153" s="10" t="n">
        <v>45669.41233796296</v>
      </c>
      <c r="K153" s="11" t="n">
        <v>0.006666666666666667</v>
      </c>
      <c r="L153" s="13" t="n"/>
    </row>
    <row r="154">
      <c r="A154" s="3" t="inlineStr">
        <is>
          <t>Coupling</t>
        </is>
      </c>
      <c r="B154" s="3" t="inlineStr">
        <is>
          <t>Act_COP_1207201_102318_623</t>
        </is>
      </c>
      <c r="C154" s="3" t="inlineStr">
        <is>
          <t>1207201</t>
        </is>
      </c>
      <c r="D154" s="9" t="n">
        <v>32</v>
      </c>
      <c r="E154" s="3" t="n"/>
      <c r="F154" s="3" t="n"/>
      <c r="G154" s="9" t="n"/>
      <c r="H154" s="10" t="n">
        <v>45669.43284722222</v>
      </c>
      <c r="I154" s="10" t="n">
        <v>45669.43371527778</v>
      </c>
      <c r="J154" s="10" t="n">
        <v>45669.43859953704</v>
      </c>
      <c r="K154" s="11" t="n">
        <v>0.004884259259259259</v>
      </c>
      <c r="L154" s="13" t="n"/>
    </row>
    <row r="155">
      <c r="A155" s="3" t="inlineStr">
        <is>
          <t>Coupling</t>
        </is>
      </c>
      <c r="B155" s="3" t="inlineStr">
        <is>
          <t>Act_COP_1207203_102847_623</t>
        </is>
      </c>
      <c r="C155" s="3" t="inlineStr">
        <is>
          <t>1207203</t>
        </is>
      </c>
      <c r="D155" s="9" t="n">
        <v>64</v>
      </c>
      <c r="E155" s="3" t="n"/>
      <c r="F155" s="3" t="n"/>
      <c r="G155" s="9" t="n"/>
      <c r="H155" s="10" t="n">
        <v>45669.43665509259</v>
      </c>
      <c r="I155" s="10" t="n">
        <v>45669.43751157408</v>
      </c>
      <c r="J155" s="10" t="n">
        <v>45669.44728009259</v>
      </c>
      <c r="K155" s="11" t="n">
        <v>0.009768518518518518</v>
      </c>
      <c r="L155" s="13" t="n"/>
    </row>
    <row r="156">
      <c r="A156" s="3" t="inlineStr">
        <is>
          <t>Coupling</t>
        </is>
      </c>
      <c r="B156" s="3" t="inlineStr">
        <is>
          <t>Act_COP_1207302_111710_627</t>
        </is>
      </c>
      <c r="C156" s="3" t="inlineStr">
        <is>
          <t>1207302</t>
        </is>
      </c>
      <c r="D156" s="9" t="n">
        <v>32</v>
      </c>
      <c r="E156" s="3" t="n"/>
      <c r="F156" s="3" t="n"/>
      <c r="G156" s="9" t="n"/>
      <c r="H156" s="10" t="n">
        <v>45669.47025462963</v>
      </c>
      <c r="I156" s="10" t="n">
        <v>45669.47112268519</v>
      </c>
      <c r="J156" s="10" t="n">
        <v>45669.47600694445</v>
      </c>
      <c r="K156" s="11" t="n">
        <v>0.004884259259259259</v>
      </c>
      <c r="L156" s="13" t="n"/>
    </row>
    <row r="157">
      <c r="A157" s="3" t="inlineStr">
        <is>
          <t>Coupling</t>
        </is>
      </c>
      <c r="B157" s="3" t="inlineStr">
        <is>
          <t>Act_COP_1207303_111948_605</t>
        </is>
      </c>
      <c r="C157" s="3" t="inlineStr">
        <is>
          <t>1207303</t>
        </is>
      </c>
      <c r="D157" s="9" t="n">
        <v>64</v>
      </c>
      <c r="E157" s="3" t="n"/>
      <c r="F157" s="3" t="n"/>
      <c r="G157" s="9" t="n"/>
      <c r="H157" s="10" t="n">
        <v>45669.47208333333</v>
      </c>
      <c r="I157" s="10" t="n">
        <v>45669.47288194444</v>
      </c>
      <c r="J157" s="10" t="n">
        <v>45669.48177083334</v>
      </c>
      <c r="K157" s="11" t="n">
        <v>0.008888888888888889</v>
      </c>
      <c r="L157" s="13" t="n"/>
    </row>
    <row r="158">
      <c r="A158" s="3" t="inlineStr">
        <is>
          <t>Coupling</t>
        </is>
      </c>
      <c r="B158" s="3" t="inlineStr">
        <is>
          <t>Act_COP_1207401_120328_613</t>
        </is>
      </c>
      <c r="C158" s="3" t="inlineStr">
        <is>
          <t>1207401</t>
        </is>
      </c>
      <c r="D158" s="9" t="n">
        <v>64</v>
      </c>
      <c r="E158" s="3" t="n"/>
      <c r="F158" s="3" t="n"/>
      <c r="G158" s="9" t="n"/>
      <c r="H158" s="10" t="n">
        <v>45669.50240740741</v>
      </c>
      <c r="I158" s="10" t="n">
        <v>45669.50320601852</v>
      </c>
      <c r="J158" s="10" t="n">
        <v>45669.5120949074</v>
      </c>
      <c r="K158" s="11" t="n">
        <v>0.008888888888888889</v>
      </c>
      <c r="L158" s="13" t="n"/>
    </row>
    <row r="159">
      <c r="A159" s="3" t="inlineStr">
        <is>
          <t>Coupling</t>
        </is>
      </c>
      <c r="B159" s="3" t="inlineStr">
        <is>
          <t>Act_COP_1207501_161508_619</t>
        </is>
      </c>
      <c r="C159" s="3" t="inlineStr">
        <is>
          <t>1207501</t>
        </is>
      </c>
      <c r="D159" s="9" t="n">
        <v>48</v>
      </c>
      <c r="E159" s="3" t="n"/>
      <c r="F159" s="3" t="n"/>
      <c r="G159" s="9" t="n"/>
      <c r="H159" s="10" t="n">
        <v>45669.67717592593</v>
      </c>
      <c r="I159" s="10" t="n">
        <v>45669.67800925926</v>
      </c>
      <c r="J159" s="10" t="n">
        <v>45669.68534722222</v>
      </c>
      <c r="K159" s="11" t="n">
        <v>0.007337962962962963</v>
      </c>
      <c r="L159" s="13" t="n"/>
    </row>
    <row r="160">
      <c r="A160" s="3" t="inlineStr">
        <is>
          <t>Coupling</t>
        </is>
      </c>
      <c r="B160" s="3" t="inlineStr">
        <is>
          <t>Act_COP_1207601_191331_613</t>
        </is>
      </c>
      <c r="C160" s="3" t="inlineStr">
        <is>
          <t>1207601</t>
        </is>
      </c>
      <c r="D160" s="9" t="n">
        <v>48</v>
      </c>
      <c r="E160" s="3" t="n"/>
      <c r="F160" s="3" t="n"/>
      <c r="G160" s="9" t="n"/>
      <c r="H160" s="10" t="n">
        <v>45669.80105324074</v>
      </c>
      <c r="I160" s="10" t="n">
        <v>45669.8019212963</v>
      </c>
      <c r="J160" s="10" t="n">
        <v>45669.80925925926</v>
      </c>
      <c r="K160" s="11" t="n">
        <v>0.007337962962962963</v>
      </c>
      <c r="L160" s="13" t="n"/>
    </row>
    <row r="161">
      <c r="A161" s="3" t="inlineStr">
        <is>
          <t>Coupling</t>
        </is>
      </c>
      <c r="B161" s="3" t="inlineStr">
        <is>
          <t>Act_COP_1207602+1207603_191645_625</t>
        </is>
      </c>
      <c r="C161" s="3" t="inlineStr">
        <is>
          <t>1207602+1207603</t>
        </is>
      </c>
      <c r="D161" s="9" t="n">
        <v>112</v>
      </c>
      <c r="E161" s="3" t="n"/>
      <c r="F161" s="3" t="n"/>
      <c r="G161" s="9" t="n"/>
      <c r="H161" s="10" t="n">
        <v>45669.80329861111</v>
      </c>
      <c r="I161" s="10" t="n">
        <v>45669.80409722222</v>
      </c>
      <c r="J161" s="10" t="n">
        <v>45669.81965277778</v>
      </c>
      <c r="K161" s="11" t="n">
        <v>0.01555555555555556</v>
      </c>
      <c r="L161" s="13" t="n"/>
    </row>
    <row r="162">
      <c r="A162" s="3" t="inlineStr">
        <is>
          <t>Coupling</t>
        </is>
      </c>
      <c r="B162" s="3" t="inlineStr">
        <is>
          <t>Act_COP_1207701+1207702+1207703+1207704+1207705_221430_613</t>
        </is>
      </c>
      <c r="C162" s="3" t="inlineStr">
        <is>
          <t>1207701+1207702+1207703+1207704+1207705</t>
        </is>
      </c>
      <c r="D162" s="9" t="n">
        <v>224</v>
      </c>
      <c r="E162" s="3" t="n"/>
      <c r="F162" s="3" t="n"/>
      <c r="G162" s="9" t="n"/>
      <c r="H162" s="10" t="n">
        <v>45669.92673611111</v>
      </c>
      <c r="I162" s="10" t="n">
        <v>45669.92760416667</v>
      </c>
      <c r="J162" s="10" t="n">
        <v>45669.96181712963</v>
      </c>
      <c r="K162" s="11" t="n">
        <v>0.03421296296296297</v>
      </c>
      <c r="L162" s="13" t="n"/>
    </row>
    <row r="163">
      <c r="A163" s="3" t="inlineStr">
        <is>
          <t>DepartureDrive</t>
        </is>
      </c>
      <c r="B163" s="3" t="inlineStr">
        <is>
          <t>Act_DEPD_OBT060125052942-Ljubljana_060011_615</t>
        </is>
      </c>
      <c r="C163" s="3" t="inlineStr">
        <is>
          <t>OBT060125052942-Ljubljana</t>
        </is>
      </c>
      <c r="D163" s="9" t="n">
        <v>112</v>
      </c>
      <c r="E163" s="3" t="inlineStr">
        <is>
          <t>615</t>
        </is>
      </c>
      <c r="F163" s="3" t="inlineStr">
        <is>
          <t>Exit gate</t>
        </is>
      </c>
      <c r="G163" s="9" t="n">
        <v>223.61</v>
      </c>
      <c r="H163" s="10" t="n">
        <v>45663.25012731482</v>
      </c>
      <c r="I163" s="10" t="n">
        <v>45663.25012731482</v>
      </c>
      <c r="J163" s="10" t="n">
        <v>45663.25084490741</v>
      </c>
      <c r="K163" s="11" t="n">
        <v>0.0007175925925925926</v>
      </c>
      <c r="L163" s="13" t="n"/>
    </row>
    <row r="164">
      <c r="A164" s="3" t="inlineStr">
        <is>
          <t>DepartureDrive</t>
        </is>
      </c>
      <c r="B164" s="3" t="inlineStr">
        <is>
          <t>Act_DEPD_OBT060125053957-Graz_060909_627</t>
        </is>
      </c>
      <c r="C164" s="3" t="inlineStr">
        <is>
          <t>OBT060125053957-Graz</t>
        </is>
      </c>
      <c r="D164" s="9" t="n">
        <v>112</v>
      </c>
      <c r="E164" s="3" t="inlineStr">
        <is>
          <t>627</t>
        </is>
      </c>
      <c r="F164" s="3" t="inlineStr">
        <is>
          <t>Exit gate</t>
        </is>
      </c>
      <c r="G164" s="9" t="n">
        <v>188.33</v>
      </c>
      <c r="H164" s="10" t="n">
        <v>45663.25635416667</v>
      </c>
      <c r="I164" s="10" t="n">
        <v>45663.25635416667</v>
      </c>
      <c r="J164" s="10" t="n">
        <v>45663.25700231481</v>
      </c>
      <c r="K164" s="11" t="n">
        <v>0.0006481481481481481</v>
      </c>
      <c r="L164" s="13" t="n"/>
    </row>
    <row r="165">
      <c r="A165" s="3" t="inlineStr">
        <is>
          <t>DepartureDrive</t>
        </is>
      </c>
      <c r="B165" s="3" t="inlineStr">
        <is>
          <t>Act_DEPD_OBT060125080833-Innsbruck_084948_615</t>
        </is>
      </c>
      <c r="C165" s="3" t="inlineStr">
        <is>
          <t>OBT060125080833-Innsbruck</t>
        </is>
      </c>
      <c r="D165" s="9" t="n">
        <v>160</v>
      </c>
      <c r="E165" s="3" t="inlineStr">
        <is>
          <t>615</t>
        </is>
      </c>
      <c r="F165" s="3" t="inlineStr">
        <is>
          <t>Exit gate</t>
        </is>
      </c>
      <c r="G165" s="9" t="n">
        <v>223.61</v>
      </c>
      <c r="H165" s="10" t="n">
        <v>45663.36791666667</v>
      </c>
      <c r="I165" s="10" t="n">
        <v>45663.36791666667</v>
      </c>
      <c r="J165" s="10" t="n">
        <v>45663.36876157407</v>
      </c>
      <c r="K165" s="11" t="n">
        <v>0.0008449074074074074</v>
      </c>
      <c r="L165" s="13" t="n"/>
    </row>
    <row r="166">
      <c r="A166" s="3" t="inlineStr">
        <is>
          <t>DepartureDrive</t>
        </is>
      </c>
      <c r="B166" s="3" t="inlineStr">
        <is>
          <t>Act_DEPD_OBT060125151513-Graz_154828_605</t>
        </is>
      </c>
      <c r="C166" s="3" t="inlineStr">
        <is>
          <t>OBT060125151513-Graz</t>
        </is>
      </c>
      <c r="D166" s="9" t="n">
        <v>128</v>
      </c>
      <c r="E166" s="3" t="inlineStr">
        <is>
          <t>605</t>
        </is>
      </c>
      <c r="F166" s="3" t="inlineStr">
        <is>
          <t>Exit gate</t>
        </is>
      </c>
      <c r="G166" s="9" t="n">
        <v>286.14</v>
      </c>
      <c r="H166" s="10" t="n">
        <v>45663.65865740741</v>
      </c>
      <c r="I166" s="10" t="n">
        <v>45663.65865740741</v>
      </c>
      <c r="J166" s="10" t="n">
        <v>45663.65954861111</v>
      </c>
      <c r="K166" s="11" t="n">
        <v>0.0008912037037037037</v>
      </c>
      <c r="L166" s="13" t="n"/>
    </row>
    <row r="167">
      <c r="A167" s="3" t="inlineStr">
        <is>
          <t>DepartureDrive</t>
        </is>
      </c>
      <c r="B167" s="3" t="inlineStr">
        <is>
          <t>Act_DEPD_OBT060125152158-Salzburg_160713_615</t>
        </is>
      </c>
      <c r="C167" s="3" t="inlineStr">
        <is>
          <t>OBT060125152158-Salzburg</t>
        </is>
      </c>
      <c r="D167" s="9" t="n">
        <v>176</v>
      </c>
      <c r="E167" s="3" t="inlineStr">
        <is>
          <t>615</t>
        </is>
      </c>
      <c r="F167" s="3" t="inlineStr">
        <is>
          <t>Exit gate</t>
        </is>
      </c>
      <c r="G167" s="9" t="n">
        <v>223.61</v>
      </c>
      <c r="H167" s="10" t="n">
        <v>45663.67167824074</v>
      </c>
      <c r="I167" s="10" t="n">
        <v>45663.67167824074</v>
      </c>
      <c r="J167" s="10" t="n">
        <v>45663.67255787037</v>
      </c>
      <c r="K167" s="11" t="n">
        <v>0.0008796296296296296</v>
      </c>
      <c r="L167" s="13" t="n"/>
    </row>
    <row r="168">
      <c r="A168" s="3" t="inlineStr">
        <is>
          <t>DepartureDrive</t>
        </is>
      </c>
      <c r="B168" s="3" t="inlineStr">
        <is>
          <t>Act_DEPD_OBT070125062515-Linz_070228_613</t>
        </is>
      </c>
      <c r="C168" s="3" t="inlineStr">
        <is>
          <t>OBT070125062515-Linz</t>
        </is>
      </c>
      <c r="D168" s="9" t="n">
        <v>144</v>
      </c>
      <c r="E168" s="3" t="inlineStr">
        <is>
          <t>613</t>
        </is>
      </c>
      <c r="F168" s="3" t="inlineStr">
        <is>
          <t>Exit gate</t>
        </is>
      </c>
      <c r="G168" s="9" t="n">
        <v>205.9</v>
      </c>
      <c r="H168" s="10" t="n">
        <v>45664.29337962963</v>
      </c>
      <c r="I168" s="10" t="n">
        <v>45664.29337962963</v>
      </c>
      <c r="J168" s="10" t="n">
        <v>45664.29414351852</v>
      </c>
      <c r="K168" s="11" t="n">
        <v>0.0007638888888888889</v>
      </c>
      <c r="L168" s="13" t="n"/>
    </row>
    <row r="169">
      <c r="A169" s="3" t="inlineStr">
        <is>
          <t>DepartureDrive</t>
        </is>
      </c>
      <c r="B169" s="3" t="inlineStr">
        <is>
          <t>Act_DEPD_OBT070125064725-Vienna_073821_615</t>
        </is>
      </c>
      <c r="C169" s="3" t="inlineStr">
        <is>
          <t>OBT070125064725-Vienna</t>
        </is>
      </c>
      <c r="D169" s="9" t="n">
        <v>128</v>
      </c>
      <c r="E169" s="3" t="inlineStr">
        <is>
          <t>615</t>
        </is>
      </c>
      <c r="F169" s="3" t="inlineStr">
        <is>
          <t>Exit gate</t>
        </is>
      </c>
      <c r="G169" s="9" t="n">
        <v>223.61</v>
      </c>
      <c r="H169" s="10" t="n">
        <v>45664.31829861111</v>
      </c>
      <c r="I169" s="10" t="n">
        <v>45664.31829861111</v>
      </c>
      <c r="J169" s="10" t="n">
        <v>45664.3190625</v>
      </c>
      <c r="K169" s="11" t="n">
        <v>0.0007638888888888889</v>
      </c>
      <c r="L169" s="13" t="n"/>
    </row>
    <row r="170">
      <c r="A170" s="3" t="inlineStr">
        <is>
          <t>DepartureDrive</t>
        </is>
      </c>
      <c r="B170" s="3" t="inlineStr">
        <is>
          <t>Act_DEPD_OBT070125064013-Ljubljana_074001_625</t>
        </is>
      </c>
      <c r="C170" s="3" t="inlineStr">
        <is>
          <t>OBT070125064013-Ljubljana</t>
        </is>
      </c>
      <c r="D170" s="9" t="n">
        <v>192</v>
      </c>
      <c r="E170" s="3" t="inlineStr">
        <is>
          <t>625</t>
        </is>
      </c>
      <c r="F170" s="3" t="inlineStr">
        <is>
          <t>Exit gate</t>
        </is>
      </c>
      <c r="G170" s="9" t="n">
        <v>240.31</v>
      </c>
      <c r="H170" s="10" t="n">
        <v>45664.31945601852</v>
      </c>
      <c r="I170" s="10" t="n">
        <v>45664.31945601852</v>
      </c>
      <c r="J170" s="10" t="n">
        <v>45664.32040509259</v>
      </c>
      <c r="K170" s="11" t="n">
        <v>0.0009490740740740741</v>
      </c>
      <c r="L170" s="13" t="n"/>
    </row>
    <row r="171">
      <c r="A171" s="3" t="inlineStr">
        <is>
          <t>DepartureDrive</t>
        </is>
      </c>
      <c r="B171" s="3" t="inlineStr">
        <is>
          <t>Act_DEPD_OBT070125070322-Graz_081023_627</t>
        </is>
      </c>
      <c r="C171" s="3" t="inlineStr">
        <is>
          <t>OBT070125070322-Graz</t>
        </is>
      </c>
      <c r="D171" s="9" t="n">
        <v>112</v>
      </c>
      <c r="E171" s="3" t="inlineStr">
        <is>
          <t>627</t>
        </is>
      </c>
      <c r="F171" s="3" t="inlineStr">
        <is>
          <t>Exit gate</t>
        </is>
      </c>
      <c r="G171" s="9" t="n">
        <v>188.33</v>
      </c>
      <c r="H171" s="10" t="n">
        <v>45664.34054398148</v>
      </c>
      <c r="I171" s="10" t="n">
        <v>45664.34054398148</v>
      </c>
      <c r="J171" s="10" t="n">
        <v>45664.34119212963</v>
      </c>
      <c r="K171" s="11" t="n">
        <v>0.0006481481481481481</v>
      </c>
      <c r="L171" s="13" t="n"/>
    </row>
    <row r="172">
      <c r="A172" s="3" t="inlineStr">
        <is>
          <t>DepartureDrive</t>
        </is>
      </c>
      <c r="B172" s="3" t="inlineStr">
        <is>
          <t>Act_DEPD_OBT070125065726-Vienna_081642_605</t>
        </is>
      </c>
      <c r="C172" s="3" t="inlineStr">
        <is>
          <t>OBT070125065726-Vienna</t>
        </is>
      </c>
      <c r="D172" s="9" t="n">
        <v>144</v>
      </c>
      <c r="E172" s="3" t="inlineStr">
        <is>
          <t>605</t>
        </is>
      </c>
      <c r="F172" s="3" t="inlineStr">
        <is>
          <t>Exit gate</t>
        </is>
      </c>
      <c r="G172" s="9" t="n">
        <v>286.14</v>
      </c>
      <c r="H172" s="10" t="n">
        <v>45664.34493055556</v>
      </c>
      <c r="I172" s="10" t="n">
        <v>45664.34493055556</v>
      </c>
      <c r="J172" s="10" t="n">
        <v>45664.34585648148</v>
      </c>
      <c r="K172" s="11" t="n">
        <v>0.000925925925925926</v>
      </c>
      <c r="L172" s="13" t="n"/>
    </row>
    <row r="173">
      <c r="A173" s="3" t="inlineStr">
        <is>
          <t>DepartureDrive</t>
        </is>
      </c>
      <c r="B173" s="3" t="inlineStr">
        <is>
          <t>Act_DEPD_OBT070125073416-Graz_082432_606</t>
        </is>
      </c>
      <c r="C173" s="3" t="inlineStr">
        <is>
          <t>OBT070125073416-Graz</t>
        </is>
      </c>
      <c r="D173" s="9" t="n">
        <v>144</v>
      </c>
      <c r="E173" s="3" t="inlineStr">
        <is>
          <t>606</t>
        </is>
      </c>
      <c r="F173" s="3" t="inlineStr">
        <is>
          <t>Exit gate</t>
        </is>
      </c>
      <c r="G173" s="9" t="n">
        <v>245</v>
      </c>
      <c r="H173" s="10" t="n">
        <v>45664.35037037037</v>
      </c>
      <c r="I173" s="10" t="n">
        <v>45664.35037037037</v>
      </c>
      <c r="J173" s="10" t="n">
        <v>45664.35121527778</v>
      </c>
      <c r="K173" s="11" t="n">
        <v>0.0008449074074074074</v>
      </c>
      <c r="L173" s="13" t="n"/>
    </row>
    <row r="174">
      <c r="A174" s="3" t="inlineStr">
        <is>
          <t>DepartureDrive</t>
        </is>
      </c>
      <c r="B174" s="3" t="inlineStr">
        <is>
          <t>Act_DEPD_OBT070125074604-Salzburg_084853_623</t>
        </is>
      </c>
      <c r="C174" s="3" t="inlineStr">
        <is>
          <t>OBT070125074604-Salzburg</t>
        </is>
      </c>
      <c r="D174" s="9" t="n">
        <v>144</v>
      </c>
      <c r="E174" s="3" t="inlineStr">
        <is>
          <t>623</t>
        </is>
      </c>
      <c r="F174" s="3" t="inlineStr">
        <is>
          <t>Exit gate</t>
        </is>
      </c>
      <c r="G174" s="9" t="n">
        <v>259.31</v>
      </c>
      <c r="H174" s="10" t="n">
        <v>45664.36728009259</v>
      </c>
      <c r="I174" s="10" t="n">
        <v>45664.36728009259</v>
      </c>
      <c r="J174" s="10" t="n">
        <v>45664.36814814815</v>
      </c>
      <c r="K174" s="11" t="n">
        <v>0.0008680555555555555</v>
      </c>
      <c r="L174" s="13" t="n"/>
    </row>
    <row r="175">
      <c r="A175" s="3" t="inlineStr">
        <is>
          <t>DepartureDrive</t>
        </is>
      </c>
      <c r="B175" s="3" t="inlineStr">
        <is>
          <t>Act_DEPD_OBT070125133255-Linz_140608_615</t>
        </is>
      </c>
      <c r="C175" s="3" t="inlineStr">
        <is>
          <t>OBT070125133255-Linz</t>
        </is>
      </c>
      <c r="D175" s="9" t="n">
        <v>128</v>
      </c>
      <c r="E175" s="3" t="inlineStr">
        <is>
          <t>615</t>
        </is>
      </c>
      <c r="F175" s="3" t="inlineStr">
        <is>
          <t>Exit gate</t>
        </is>
      </c>
      <c r="G175" s="9" t="n">
        <v>223.61</v>
      </c>
      <c r="H175" s="10" t="n">
        <v>45664.58759259259</v>
      </c>
      <c r="I175" s="10" t="n">
        <v>45664.58759259259</v>
      </c>
      <c r="J175" s="10" t="n">
        <v>45664.58835648148</v>
      </c>
      <c r="K175" s="11" t="n">
        <v>0.0007638888888888889</v>
      </c>
      <c r="L175" s="13" t="n"/>
    </row>
    <row r="176">
      <c r="A176" s="3" t="inlineStr">
        <is>
          <t>DepartureDrive</t>
        </is>
      </c>
      <c r="B176" s="3" t="inlineStr">
        <is>
          <t>Act_DEPD_OBT070125170022-Vienna_174537_619</t>
        </is>
      </c>
      <c r="C176" s="3" t="inlineStr">
        <is>
          <t>OBT070125170022-Vienna</t>
        </is>
      </c>
      <c r="D176" s="9" t="n">
        <v>176</v>
      </c>
      <c r="E176" s="3" t="inlineStr">
        <is>
          <t>619</t>
        </is>
      </c>
      <c r="F176" s="3" t="inlineStr">
        <is>
          <t>Exit gate</t>
        </is>
      </c>
      <c r="G176" s="9" t="n">
        <v>262.93</v>
      </c>
      <c r="H176" s="10" t="n">
        <v>45664.74001157407</v>
      </c>
      <c r="I176" s="10" t="n">
        <v>45664.74001157407</v>
      </c>
      <c r="J176" s="10" t="n">
        <v>45664.74097222222</v>
      </c>
      <c r="K176" s="11" t="n">
        <v>0.0009606481481481482</v>
      </c>
      <c r="L176" s="13" t="n"/>
    </row>
    <row r="177">
      <c r="A177" s="3" t="inlineStr">
        <is>
          <t>DepartureDrive</t>
        </is>
      </c>
      <c r="B177" s="3" t="inlineStr">
        <is>
          <t>Act_DEPD_OBT080125061351-Vienna_064706_613</t>
        </is>
      </c>
      <c r="C177" s="3" t="inlineStr">
        <is>
          <t>OBT080125061351-Vienna</t>
        </is>
      </c>
      <c r="D177" s="9" t="n">
        <v>128</v>
      </c>
      <c r="E177" s="3" t="inlineStr">
        <is>
          <t>613</t>
        </is>
      </c>
      <c r="F177" s="3" t="inlineStr">
        <is>
          <t>Exit gate</t>
        </is>
      </c>
      <c r="G177" s="9" t="n">
        <v>205.9</v>
      </c>
      <c r="H177" s="10" t="n">
        <v>45665.28270833333</v>
      </c>
      <c r="I177" s="10" t="n">
        <v>45665.28270833333</v>
      </c>
      <c r="J177" s="10" t="n">
        <v>45665.2834375</v>
      </c>
      <c r="K177" s="11" t="n">
        <v>0.0007291666666666667</v>
      </c>
      <c r="L177" s="13" t="n"/>
    </row>
    <row r="178">
      <c r="A178" s="3" t="inlineStr">
        <is>
          <t>DepartureDrive</t>
        </is>
      </c>
      <c r="B178" s="3" t="inlineStr">
        <is>
          <t>Act_DEPD_OBT080125061853-Salzburg_065208_615</t>
        </is>
      </c>
      <c r="C178" s="3" t="inlineStr">
        <is>
          <t>OBT080125061853-Salzburg</t>
        </is>
      </c>
      <c r="D178" s="9" t="n">
        <v>128</v>
      </c>
      <c r="E178" s="3" t="inlineStr">
        <is>
          <t>615</t>
        </is>
      </c>
      <c r="F178" s="3" t="inlineStr">
        <is>
          <t>Exit gate</t>
        </is>
      </c>
      <c r="G178" s="9" t="n">
        <v>223.61</v>
      </c>
      <c r="H178" s="10" t="n">
        <v>45665.2862037037</v>
      </c>
      <c r="I178" s="10" t="n">
        <v>45665.2862037037</v>
      </c>
      <c r="J178" s="10" t="n">
        <v>45665.28695601852</v>
      </c>
      <c r="K178" s="11" t="n">
        <v>0.0007523148148148148</v>
      </c>
      <c r="L178" s="13" t="n"/>
    </row>
    <row r="179">
      <c r="A179" s="3" t="inlineStr">
        <is>
          <t>DepartureDrive</t>
        </is>
      </c>
      <c r="B179" s="3" t="inlineStr">
        <is>
          <t>Act_DEPD_OBT080125094940-Budapest_103455_625</t>
        </is>
      </c>
      <c r="C179" s="3" t="inlineStr">
        <is>
          <t>OBT080125094940-Budapest</t>
        </is>
      </c>
      <c r="D179" s="9" t="n">
        <v>176</v>
      </c>
      <c r="E179" s="3" t="inlineStr">
        <is>
          <t>625</t>
        </is>
      </c>
      <c r="F179" s="3" t="inlineStr">
        <is>
          <t>Exit gate</t>
        </is>
      </c>
      <c r="G179" s="9" t="n">
        <v>240.31</v>
      </c>
      <c r="H179" s="10" t="n">
        <v>45665.44091435185</v>
      </c>
      <c r="I179" s="10" t="n">
        <v>45665.44091435185</v>
      </c>
      <c r="J179" s="10" t="n">
        <v>45665.44181712963</v>
      </c>
      <c r="K179" s="11" t="n">
        <v>0.0009027777777777777</v>
      </c>
      <c r="L179" s="13" t="n"/>
    </row>
    <row r="180">
      <c r="A180" s="3" t="inlineStr">
        <is>
          <t>DepartureDrive</t>
        </is>
      </c>
      <c r="B180" s="3" t="inlineStr">
        <is>
          <t>Act_DEPD_OBT080125095423-Graz_105651_605</t>
        </is>
      </c>
      <c r="C180" s="3" t="inlineStr">
        <is>
          <t>OBT080125095423-Graz</t>
        </is>
      </c>
      <c r="D180" s="9" t="n">
        <v>240</v>
      </c>
      <c r="E180" s="3" t="inlineStr">
        <is>
          <t>605</t>
        </is>
      </c>
      <c r="F180" s="3" t="inlineStr">
        <is>
          <t>Exit gate</t>
        </is>
      </c>
      <c r="G180" s="9" t="n">
        <v>286.14</v>
      </c>
      <c r="H180" s="10" t="n">
        <v>45665.45614583333</v>
      </c>
      <c r="I180" s="10" t="n">
        <v>45665.45614583333</v>
      </c>
      <c r="J180" s="10" t="n">
        <v>45665.45729166667</v>
      </c>
      <c r="K180" s="11" t="n">
        <v>0.001145833333333333</v>
      </c>
      <c r="L180" s="13" t="n"/>
    </row>
    <row r="181">
      <c r="A181" s="3" t="inlineStr">
        <is>
          <t>DepartureDrive</t>
        </is>
      </c>
      <c r="B181" s="3" t="inlineStr">
        <is>
          <t>Act_DEPD_OBT080125101213-Vienna_105840_623</t>
        </is>
      </c>
      <c r="C181" s="3" t="inlineStr">
        <is>
          <t>OBT080125101213-Vienna</t>
        </is>
      </c>
      <c r="D181" s="9" t="n">
        <v>160</v>
      </c>
      <c r="E181" s="3" t="inlineStr">
        <is>
          <t>623</t>
        </is>
      </c>
      <c r="F181" s="3" t="inlineStr">
        <is>
          <t>Exit gate</t>
        </is>
      </c>
      <c r="G181" s="9" t="n">
        <v>259.31</v>
      </c>
      <c r="H181" s="10" t="n">
        <v>45665.4574074074</v>
      </c>
      <c r="I181" s="10" t="n">
        <v>45665.4574074074</v>
      </c>
      <c r="J181" s="10" t="n">
        <v>45665.45832175926</v>
      </c>
      <c r="K181" s="11" t="n">
        <v>0.0009143518518518518</v>
      </c>
      <c r="L181" s="13" t="n"/>
    </row>
    <row r="182">
      <c r="A182" s="3" t="inlineStr">
        <is>
          <t>DepartureDrive</t>
        </is>
      </c>
      <c r="B182" s="3" t="inlineStr">
        <is>
          <t>Act_DEPD_OBT080125101621-Graz_113919_619</t>
        </is>
      </c>
      <c r="C182" s="3" t="inlineStr">
        <is>
          <t>OBT080125101621-Graz</t>
        </is>
      </c>
      <c r="D182" s="9" t="n">
        <v>160</v>
      </c>
      <c r="E182" s="3" t="inlineStr">
        <is>
          <t>619</t>
        </is>
      </c>
      <c r="F182" s="3" t="inlineStr">
        <is>
          <t>Exit gate</t>
        </is>
      </c>
      <c r="G182" s="9" t="n">
        <v>262.93</v>
      </c>
      <c r="H182" s="10" t="n">
        <v>45665.48563657407</v>
      </c>
      <c r="I182" s="10" t="n">
        <v>45665.48563657407</v>
      </c>
      <c r="J182" s="10" t="n">
        <v>45665.48655092593</v>
      </c>
      <c r="K182" s="11" t="n">
        <v>0.0009143518518518518</v>
      </c>
      <c r="L182" s="13" t="n"/>
    </row>
    <row r="183">
      <c r="A183" s="3" t="inlineStr">
        <is>
          <t>DepartureDrive</t>
        </is>
      </c>
      <c r="B183" s="3" t="inlineStr">
        <is>
          <t>Act_DEPD_OBT080125111223-Budapest_120535_613</t>
        </is>
      </c>
      <c r="C183" s="3" t="inlineStr">
        <is>
          <t>OBT080125111223-Budapest</t>
        </is>
      </c>
      <c r="D183" s="9" t="n">
        <v>208</v>
      </c>
      <c r="E183" s="3" t="inlineStr">
        <is>
          <t>613</t>
        </is>
      </c>
      <c r="F183" s="3" t="inlineStr">
        <is>
          <t>Exit gate</t>
        </is>
      </c>
      <c r="G183" s="9" t="n">
        <v>205.9</v>
      </c>
      <c r="H183" s="10" t="n">
        <v>45665.50387731481</v>
      </c>
      <c r="I183" s="10" t="n">
        <v>45665.50387731481</v>
      </c>
      <c r="J183" s="10" t="n">
        <v>45665.50479166667</v>
      </c>
      <c r="K183" s="11" t="n">
        <v>0.0009143518518518518</v>
      </c>
      <c r="L183" s="13" t="n"/>
    </row>
    <row r="184">
      <c r="A184" s="3" t="inlineStr">
        <is>
          <t>DepartureDrive</t>
        </is>
      </c>
      <c r="B184" s="3" t="inlineStr">
        <is>
          <t>Act_DEPD_OBT080125144107-Salzburg_151420_606</t>
        </is>
      </c>
      <c r="C184" s="3" t="inlineStr">
        <is>
          <t>OBT080125144107-Salzburg</t>
        </is>
      </c>
      <c r="D184" s="9" t="n">
        <v>128</v>
      </c>
      <c r="E184" s="3" t="inlineStr">
        <is>
          <t>606</t>
        </is>
      </c>
      <c r="F184" s="3" t="inlineStr">
        <is>
          <t>Exit gate</t>
        </is>
      </c>
      <c r="G184" s="9" t="n">
        <v>245</v>
      </c>
      <c r="H184" s="10" t="n">
        <v>45665.6349537037</v>
      </c>
      <c r="I184" s="10" t="n">
        <v>45665.6349537037</v>
      </c>
      <c r="J184" s="10" t="n">
        <v>45665.63575231482</v>
      </c>
      <c r="K184" s="11" t="n">
        <v>0.0007986111111111112</v>
      </c>
      <c r="L184" s="13" t="n"/>
    </row>
    <row r="185">
      <c r="A185" s="3" t="inlineStr">
        <is>
          <t>DepartureDrive</t>
        </is>
      </c>
      <c r="B185" s="3" t="inlineStr">
        <is>
          <t>Act_DEPD_OBT080125145710-Innsbruck_153425_615</t>
        </is>
      </c>
      <c r="C185" s="3" t="inlineStr">
        <is>
          <t>OBT080125145710-Innsbruck</t>
        </is>
      </c>
      <c r="D185" s="9" t="n">
        <v>144</v>
      </c>
      <c r="E185" s="3" t="inlineStr">
        <is>
          <t>615</t>
        </is>
      </c>
      <c r="F185" s="3" t="inlineStr">
        <is>
          <t>Exit gate</t>
        </is>
      </c>
      <c r="G185" s="9" t="n">
        <v>223.61</v>
      </c>
      <c r="H185" s="10" t="n">
        <v>45665.64890046296</v>
      </c>
      <c r="I185" s="10" t="n">
        <v>45665.64890046296</v>
      </c>
      <c r="J185" s="10" t="n">
        <v>45665.64969907407</v>
      </c>
      <c r="K185" s="11" t="n">
        <v>0.0007986111111111112</v>
      </c>
      <c r="L185" s="13" t="n"/>
    </row>
    <row r="186">
      <c r="A186" s="3" t="inlineStr">
        <is>
          <t>DepartureDrive</t>
        </is>
      </c>
      <c r="B186" s="3" t="inlineStr">
        <is>
          <t>Act_DEPD_OBT080125183013-Graz_185926_615</t>
        </is>
      </c>
      <c r="C186" s="3" t="inlineStr">
        <is>
          <t>OBT080125183013-Graz</t>
        </is>
      </c>
      <c r="D186" s="9" t="n">
        <v>112</v>
      </c>
      <c r="E186" s="3" t="inlineStr">
        <is>
          <t>615</t>
        </is>
      </c>
      <c r="F186" s="3" t="inlineStr">
        <is>
          <t>Exit gate</t>
        </is>
      </c>
      <c r="G186" s="9" t="n">
        <v>223.61</v>
      </c>
      <c r="H186" s="10" t="n">
        <v>45665.79127314815</v>
      </c>
      <c r="I186" s="10" t="n">
        <v>45665.79127314815</v>
      </c>
      <c r="J186" s="10" t="n">
        <v>45665.79200231482</v>
      </c>
      <c r="K186" s="11" t="n">
        <v>0.0007291666666666667</v>
      </c>
      <c r="L186" s="13" t="n"/>
    </row>
    <row r="187">
      <c r="A187" s="3" t="inlineStr">
        <is>
          <t>DepartureDrive</t>
        </is>
      </c>
      <c r="B187" s="3" t="inlineStr">
        <is>
          <t>Act_DEPD_OBT080125222429-Budapest_232941_615</t>
        </is>
      </c>
      <c r="C187" s="3" t="inlineStr">
        <is>
          <t>OBT080125222429-Budapest</t>
        </is>
      </c>
      <c r="D187" s="9" t="n">
        <v>256</v>
      </c>
      <c r="E187" s="3" t="inlineStr">
        <is>
          <t>615</t>
        </is>
      </c>
      <c r="F187" s="3" t="inlineStr">
        <is>
          <t>Exit gate</t>
        </is>
      </c>
      <c r="G187" s="9" t="n">
        <v>223.61</v>
      </c>
      <c r="H187" s="10" t="n">
        <v>45665.97894675926</v>
      </c>
      <c r="I187" s="10" t="n">
        <v>45665.97894675926</v>
      </c>
      <c r="J187" s="10" t="n">
        <v>45665.98001157407</v>
      </c>
      <c r="K187" s="11" t="n">
        <v>0.001064814814814815</v>
      </c>
      <c r="L187" s="13" t="n"/>
    </row>
    <row r="188">
      <c r="A188" s="3" t="inlineStr">
        <is>
          <t>DepartureDrive</t>
        </is>
      </c>
      <c r="B188" s="3" t="inlineStr">
        <is>
          <t>Act_DEPD_OBT090125054651-Salzburg_062518_615</t>
        </is>
      </c>
      <c r="C188" s="3" t="inlineStr">
        <is>
          <t>OBT090125054651-Salzburg</t>
        </is>
      </c>
      <c r="D188" s="9" t="n">
        <v>144</v>
      </c>
      <c r="E188" s="3" t="inlineStr">
        <is>
          <t>615</t>
        </is>
      </c>
      <c r="F188" s="3" t="inlineStr">
        <is>
          <t>Exit gate</t>
        </is>
      </c>
      <c r="G188" s="9" t="n">
        <v>223.61</v>
      </c>
      <c r="H188" s="10" t="n">
        <v>45666.26756944445</v>
      </c>
      <c r="I188" s="10" t="n">
        <v>45666.26756944445</v>
      </c>
      <c r="J188" s="10" t="n">
        <v>45666.26836805556</v>
      </c>
      <c r="K188" s="11" t="n">
        <v>0.0007986111111111112</v>
      </c>
      <c r="L188" s="13" t="n"/>
    </row>
    <row r="189">
      <c r="A189" s="3" t="inlineStr">
        <is>
          <t>DepartureDrive</t>
        </is>
      </c>
      <c r="B189" s="3" t="inlineStr">
        <is>
          <t>Act_DEPD_OBT090125055020-Vienna_063752_625</t>
        </is>
      </c>
      <c r="C189" s="3" t="inlineStr">
        <is>
          <t>OBT090125055020-Vienna</t>
        </is>
      </c>
      <c r="D189" s="9" t="n">
        <v>176</v>
      </c>
      <c r="E189" s="3" t="inlineStr">
        <is>
          <t>625</t>
        </is>
      </c>
      <c r="F189" s="3" t="inlineStr">
        <is>
          <t>Exit gate</t>
        </is>
      </c>
      <c r="G189" s="9" t="n">
        <v>240.31</v>
      </c>
      <c r="H189" s="10" t="n">
        <v>45666.2762962963</v>
      </c>
      <c r="I189" s="10" t="n">
        <v>45666.2762962963</v>
      </c>
      <c r="J189" s="10" t="n">
        <v>45666.27719907407</v>
      </c>
      <c r="K189" s="11" t="n">
        <v>0.0009027777777777777</v>
      </c>
      <c r="L189" s="13" t="n"/>
    </row>
    <row r="190">
      <c r="A190" s="3" t="inlineStr">
        <is>
          <t>DepartureDrive</t>
        </is>
      </c>
      <c r="B190" s="3" t="inlineStr">
        <is>
          <t>Act_DEPD_OBT090125064941-Vienna_072535_607</t>
        </is>
      </c>
      <c r="C190" s="3" t="inlineStr">
        <is>
          <t>OBT090125064941-Vienna</t>
        </is>
      </c>
      <c r="D190" s="9" t="n">
        <v>128</v>
      </c>
      <c r="E190" s="3" t="inlineStr">
        <is>
          <t>607</t>
        </is>
      </c>
      <c r="F190" s="3" t="inlineStr">
        <is>
          <t>Exit gate</t>
        </is>
      </c>
      <c r="G190" s="9" t="n">
        <v>286.14</v>
      </c>
      <c r="H190" s="10" t="n">
        <v>45666.30943287037</v>
      </c>
      <c r="I190" s="10" t="n">
        <v>45666.30943287037</v>
      </c>
      <c r="J190" s="10" t="n">
        <v>45666.31032407407</v>
      </c>
      <c r="K190" s="11" t="n">
        <v>0.0008912037037037037</v>
      </c>
      <c r="L190" s="13" t="n"/>
    </row>
    <row r="191">
      <c r="A191" s="3" t="inlineStr">
        <is>
          <t>DepartureDrive</t>
        </is>
      </c>
      <c r="B191" s="3" t="inlineStr">
        <is>
          <t>Act_DEPD_OBT090125062427-Graz_073633_605</t>
        </is>
      </c>
      <c r="C191" s="3" t="inlineStr">
        <is>
          <t>OBT090125062427-Graz</t>
        </is>
      </c>
      <c r="D191" s="9" t="n">
        <v>224</v>
      </c>
      <c r="E191" s="3" t="inlineStr">
        <is>
          <t>605</t>
        </is>
      </c>
      <c r="F191" s="3" t="inlineStr">
        <is>
          <t>Exit gate</t>
        </is>
      </c>
      <c r="G191" s="9" t="n">
        <v>286.14</v>
      </c>
      <c r="H191" s="10" t="n">
        <v>45666.31704861111</v>
      </c>
      <c r="I191" s="10" t="n">
        <v>45666.31704861111</v>
      </c>
      <c r="J191" s="10" t="n">
        <v>45666.3181712963</v>
      </c>
      <c r="K191" s="11" t="n">
        <v>0.001122685185185185</v>
      </c>
      <c r="L191" s="13" t="n"/>
    </row>
    <row r="192">
      <c r="A192" s="3" t="inlineStr">
        <is>
          <t>DepartureDrive</t>
        </is>
      </c>
      <c r="B192" s="3" t="inlineStr">
        <is>
          <t>Act_DEPD_OBT090125062930-Linz_074326_613</t>
        </is>
      </c>
      <c r="C192" s="3" t="inlineStr">
        <is>
          <t>OBT090125062930-Linz</t>
        </is>
      </c>
      <c r="D192" s="9" t="n">
        <v>240</v>
      </c>
      <c r="E192" s="3" t="inlineStr">
        <is>
          <t>613</t>
        </is>
      </c>
      <c r="F192" s="3" t="inlineStr">
        <is>
          <t>Exit gate</t>
        </is>
      </c>
      <c r="G192" s="9" t="n">
        <v>205.9</v>
      </c>
      <c r="H192" s="10" t="n">
        <v>45666.3218287037</v>
      </c>
      <c r="I192" s="10" t="n">
        <v>45666.3218287037</v>
      </c>
      <c r="J192" s="10" t="n">
        <v>45666.3228125</v>
      </c>
      <c r="K192" s="11" t="n">
        <v>0.0009837962962962962</v>
      </c>
      <c r="L192" s="13" t="n"/>
    </row>
    <row r="193">
      <c r="A193" s="3" t="inlineStr">
        <is>
          <t>DepartureDrive</t>
        </is>
      </c>
      <c r="B193" s="3" t="inlineStr">
        <is>
          <t>Act_DEPD_OBT090125065110-Vienna_080800_623</t>
        </is>
      </c>
      <c r="C193" s="3" t="inlineStr">
        <is>
          <t>OBT090125065110-Vienna</t>
        </is>
      </c>
      <c r="D193" s="9" t="n">
        <v>160</v>
      </c>
      <c r="E193" s="3" t="inlineStr">
        <is>
          <t>623</t>
        </is>
      </c>
      <c r="F193" s="3" t="inlineStr">
        <is>
          <t>Exit gate</t>
        </is>
      </c>
      <c r="G193" s="9" t="n">
        <v>259.31</v>
      </c>
      <c r="H193" s="10" t="n">
        <v>45666.33888888889</v>
      </c>
      <c r="I193" s="10" t="n">
        <v>45666.33888888889</v>
      </c>
      <c r="J193" s="10" t="n">
        <v>45666.33979166667</v>
      </c>
      <c r="K193" s="11" t="n">
        <v>0.0009027777777777777</v>
      </c>
      <c r="L193" s="13" t="n"/>
    </row>
    <row r="194">
      <c r="A194" s="3" t="inlineStr">
        <is>
          <t>DepartureDrive</t>
        </is>
      </c>
      <c r="B194" s="3" t="inlineStr">
        <is>
          <t>Act_DEPD_OBT090125113246-Budapest_120601_615</t>
        </is>
      </c>
      <c r="C194" s="3" t="inlineStr">
        <is>
          <t>OBT090125113246-Budapest</t>
        </is>
      </c>
      <c r="D194" s="9" t="n">
        <v>128</v>
      </c>
      <c r="E194" s="3" t="inlineStr">
        <is>
          <t>615</t>
        </is>
      </c>
      <c r="F194" s="3" t="inlineStr">
        <is>
          <t>Exit gate</t>
        </is>
      </c>
      <c r="G194" s="9" t="n">
        <v>223.61</v>
      </c>
      <c r="H194" s="10" t="n">
        <v>45666.50417824074</v>
      </c>
      <c r="I194" s="10" t="n">
        <v>45666.50417824074</v>
      </c>
      <c r="J194" s="10" t="n">
        <v>45666.50494212963</v>
      </c>
      <c r="K194" s="11" t="n">
        <v>0.0007638888888888889</v>
      </c>
      <c r="L194" s="13" t="n"/>
    </row>
    <row r="195">
      <c r="A195" s="3" t="inlineStr">
        <is>
          <t>DepartureDrive</t>
        </is>
      </c>
      <c r="B195" s="3" t="inlineStr">
        <is>
          <t>Act_DEPD_OBT090125114855-Salzburg_124207_613</t>
        </is>
      </c>
      <c r="C195" s="3" t="inlineStr">
        <is>
          <t>OBT090125114855-Salzburg</t>
        </is>
      </c>
      <c r="D195" s="9" t="n">
        <v>208</v>
      </c>
      <c r="E195" s="3" t="inlineStr">
        <is>
          <t>613</t>
        </is>
      </c>
      <c r="F195" s="3" t="inlineStr">
        <is>
          <t>Exit gate</t>
        </is>
      </c>
      <c r="G195" s="9" t="n">
        <v>205.9</v>
      </c>
      <c r="H195" s="10" t="n">
        <v>45666.52924768518</v>
      </c>
      <c r="I195" s="10" t="n">
        <v>45666.52924768518</v>
      </c>
      <c r="J195" s="10" t="n">
        <v>45666.53016203704</v>
      </c>
      <c r="K195" s="11" t="n">
        <v>0.0009143518518518518</v>
      </c>
      <c r="L195" s="13" t="n"/>
    </row>
    <row r="196">
      <c r="A196" s="3" t="inlineStr">
        <is>
          <t>DepartureDrive</t>
        </is>
      </c>
      <c r="B196" s="3" t="inlineStr">
        <is>
          <t>Act_DEPD_OBT090125133851-Graz_141604_619</t>
        </is>
      </c>
      <c r="C196" s="3" t="inlineStr">
        <is>
          <t>OBT090125133851-Graz</t>
        </is>
      </c>
      <c r="D196" s="9" t="n">
        <v>144</v>
      </c>
      <c r="E196" s="3" t="inlineStr">
        <is>
          <t>619</t>
        </is>
      </c>
      <c r="F196" s="3" t="inlineStr">
        <is>
          <t>Exit gate</t>
        </is>
      </c>
      <c r="G196" s="9" t="n">
        <v>262.93</v>
      </c>
      <c r="H196" s="10" t="n">
        <v>45666.59449074074</v>
      </c>
      <c r="I196" s="10" t="n">
        <v>45666.59449074074</v>
      </c>
      <c r="J196" s="10" t="n">
        <v>45666.59537037037</v>
      </c>
      <c r="K196" s="11" t="n">
        <v>0.0008796296296296296</v>
      </c>
      <c r="L196" s="13" t="n"/>
    </row>
    <row r="197">
      <c r="A197" s="3" t="inlineStr">
        <is>
          <t>DepartureDrive</t>
        </is>
      </c>
      <c r="B197" s="3" t="inlineStr">
        <is>
          <t>Act_DEPD_OBT090125134430-Vienna_143053_615</t>
        </is>
      </c>
      <c r="C197" s="3" t="inlineStr">
        <is>
          <t>OBT090125134430-Vienna</t>
        </is>
      </c>
      <c r="D197" s="9" t="n">
        <v>176</v>
      </c>
      <c r="E197" s="3" t="inlineStr">
        <is>
          <t>615</t>
        </is>
      </c>
      <c r="F197" s="3" t="inlineStr">
        <is>
          <t>Exit gate</t>
        </is>
      </c>
      <c r="G197" s="9" t="n">
        <v>223.61</v>
      </c>
      <c r="H197" s="10" t="n">
        <v>45666.6047800926</v>
      </c>
      <c r="I197" s="10" t="n">
        <v>45666.6047800926</v>
      </c>
      <c r="J197" s="10" t="n">
        <v>45666.60565972222</v>
      </c>
      <c r="K197" s="11" t="n">
        <v>0.0008796296296296296</v>
      </c>
      <c r="L197" s="13" t="n"/>
    </row>
    <row r="198">
      <c r="A198" s="3" t="inlineStr">
        <is>
          <t>DepartureDrive</t>
        </is>
      </c>
      <c r="B198" s="3" t="inlineStr">
        <is>
          <t>Act_DEPD_OBT090125135236-Linz_150018_625</t>
        </is>
      </c>
      <c r="C198" s="3" t="inlineStr">
        <is>
          <t>OBT090125135236-Linz</t>
        </is>
      </c>
      <c r="D198" s="9" t="n">
        <v>112</v>
      </c>
      <c r="E198" s="3" t="inlineStr">
        <is>
          <t>625</t>
        </is>
      </c>
      <c r="F198" s="3" t="inlineStr">
        <is>
          <t>Exit gate</t>
        </is>
      </c>
      <c r="G198" s="9" t="n">
        <v>240.31</v>
      </c>
      <c r="H198" s="10" t="n">
        <v>45666.62520833333</v>
      </c>
      <c r="I198" s="10" t="n">
        <v>45666.62520833333</v>
      </c>
      <c r="J198" s="10" t="n">
        <v>45666.62597222222</v>
      </c>
      <c r="K198" s="11" t="n">
        <v>0.0007638888888888889</v>
      </c>
      <c r="L198" s="13" t="n"/>
    </row>
    <row r="199">
      <c r="A199" s="3" t="inlineStr">
        <is>
          <t>DepartureDrive</t>
        </is>
      </c>
      <c r="B199" s="3" t="inlineStr">
        <is>
          <t>Act_DEPD_OBT090125141313-Ljubljana_150123_607</t>
        </is>
      </c>
      <c r="C199" s="3" t="inlineStr">
        <is>
          <t>OBT090125141313-Ljubljana</t>
        </is>
      </c>
      <c r="D199" s="9" t="n">
        <v>112</v>
      </c>
      <c r="E199" s="3" t="inlineStr">
        <is>
          <t>607</t>
        </is>
      </c>
      <c r="F199" s="3" t="inlineStr">
        <is>
          <t>Exit gate</t>
        </is>
      </c>
      <c r="G199" s="9" t="n">
        <v>286.14</v>
      </c>
      <c r="H199" s="10" t="n">
        <v>45666.62596064815</v>
      </c>
      <c r="I199" s="10" t="n">
        <v>45666.62597222222</v>
      </c>
      <c r="J199" s="10" t="n">
        <v>45666.62681712963</v>
      </c>
      <c r="K199" s="11" t="n">
        <v>0.0008449074074074074</v>
      </c>
      <c r="L199" s="13" t="n"/>
    </row>
    <row r="200">
      <c r="A200" s="3" t="inlineStr">
        <is>
          <t>DepartureDrive</t>
        </is>
      </c>
      <c r="B200" s="3" t="inlineStr">
        <is>
          <t>Act_DEPD_OBT090125134651-Budapest_151156_613</t>
        </is>
      </c>
      <c r="C200" s="3" t="inlineStr">
        <is>
          <t>OBT090125134651-Budapest</t>
        </is>
      </c>
      <c r="D200" s="9" t="n">
        <v>208</v>
      </c>
      <c r="E200" s="3" t="inlineStr">
        <is>
          <t>613</t>
        </is>
      </c>
      <c r="F200" s="3" t="inlineStr">
        <is>
          <t>Exit gate</t>
        </is>
      </c>
      <c r="G200" s="9" t="n">
        <v>205.9</v>
      </c>
      <c r="H200" s="10" t="n">
        <v>45666.63328703704</v>
      </c>
      <c r="I200" s="10" t="n">
        <v>45666.63328703704</v>
      </c>
      <c r="J200" s="10" t="n">
        <v>45666.63420138889</v>
      </c>
      <c r="K200" s="11" t="n">
        <v>0.0009143518518518518</v>
      </c>
      <c r="L200" s="13" t="n"/>
    </row>
    <row r="201">
      <c r="A201" s="3" t="inlineStr">
        <is>
          <t>DepartureDrive</t>
        </is>
      </c>
      <c r="B201" s="3" t="inlineStr">
        <is>
          <t>Act_DEPD_OBT090125142902-Graz_153448_609</t>
        </is>
      </c>
      <c r="C201" s="3" t="inlineStr">
        <is>
          <t>OBT090125142902-Graz</t>
        </is>
      </c>
      <c r="D201" s="9" t="n">
        <v>128</v>
      </c>
      <c r="E201" s="3" t="inlineStr">
        <is>
          <t>609</t>
        </is>
      </c>
      <c r="F201" s="3" t="inlineStr">
        <is>
          <t>Exit gate</t>
        </is>
      </c>
      <c r="G201" s="9" t="n">
        <v>259.16</v>
      </c>
      <c r="H201" s="10" t="n">
        <v>45666.64916666667</v>
      </c>
      <c r="I201" s="10" t="n">
        <v>45666.64916666667</v>
      </c>
      <c r="J201" s="10" t="n">
        <v>45666.65</v>
      </c>
      <c r="K201" s="11" t="n">
        <v>0.0008333333333333334</v>
      </c>
      <c r="L201" s="13" t="n"/>
    </row>
    <row r="202">
      <c r="A202" s="3" t="inlineStr">
        <is>
          <t>DepartureDrive</t>
        </is>
      </c>
      <c r="B202" s="3" t="inlineStr">
        <is>
          <t>Act_DEPD_OBT090125142948-Vienna_153953_623</t>
        </is>
      </c>
      <c r="C202" s="3" t="inlineStr">
        <is>
          <t>OBT090125142948-Vienna</t>
        </is>
      </c>
      <c r="D202" s="9" t="n">
        <v>144</v>
      </c>
      <c r="E202" s="3" t="inlineStr">
        <is>
          <t>623</t>
        </is>
      </c>
      <c r="F202" s="3" t="inlineStr">
        <is>
          <t>Exit gate</t>
        </is>
      </c>
      <c r="G202" s="9" t="n">
        <v>259.31</v>
      </c>
      <c r="H202" s="10" t="n">
        <v>45666.65269675926</v>
      </c>
      <c r="I202" s="10" t="n">
        <v>45666.65269675926</v>
      </c>
      <c r="J202" s="10" t="n">
        <v>45666.65357638889</v>
      </c>
      <c r="K202" s="11" t="n">
        <v>0.0008796296296296296</v>
      </c>
      <c r="L202" s="13" t="n"/>
    </row>
    <row r="203">
      <c r="A203" s="3" t="inlineStr">
        <is>
          <t>DepartureDrive</t>
        </is>
      </c>
      <c r="B203" s="3" t="inlineStr">
        <is>
          <t>Act_DEPD_OBT090125193547-Budapest_201301_615</t>
        </is>
      </c>
      <c r="C203" s="3" t="inlineStr">
        <is>
          <t>OBT090125193547-Budapest</t>
        </is>
      </c>
      <c r="D203" s="9" t="n">
        <v>144</v>
      </c>
      <c r="E203" s="3" t="inlineStr">
        <is>
          <t>615</t>
        </is>
      </c>
      <c r="F203" s="3" t="inlineStr">
        <is>
          <t>Exit gate</t>
        </is>
      </c>
      <c r="G203" s="9" t="n">
        <v>223.61</v>
      </c>
      <c r="H203" s="10" t="n">
        <v>45666.84237268518</v>
      </c>
      <c r="I203" s="10" t="n">
        <v>45666.84237268518</v>
      </c>
      <c r="J203" s="10" t="n">
        <v>45666.8431712963</v>
      </c>
      <c r="K203" s="11" t="n">
        <v>0.0007986111111111112</v>
      </c>
      <c r="L203" s="13" t="n"/>
    </row>
    <row r="204">
      <c r="A204" s="3" t="inlineStr">
        <is>
          <t>DepartureDrive</t>
        </is>
      </c>
      <c r="B204" s="3" t="inlineStr">
        <is>
          <t>Act_DEPD_OBT090125194448-Vienna_203003_613</t>
        </is>
      </c>
      <c r="C204" s="3" t="inlineStr">
        <is>
          <t>OBT090125194448-Vienna</t>
        </is>
      </c>
      <c r="D204" s="9" t="n">
        <v>176</v>
      </c>
      <c r="E204" s="3" t="inlineStr">
        <is>
          <t>613</t>
        </is>
      </c>
      <c r="F204" s="3" t="inlineStr">
        <is>
          <t>Exit gate</t>
        </is>
      </c>
      <c r="G204" s="9" t="n">
        <v>205.9</v>
      </c>
      <c r="H204" s="10" t="n">
        <v>45666.85420138889</v>
      </c>
      <c r="I204" s="10" t="n">
        <v>45666.85420138889</v>
      </c>
      <c r="J204" s="10" t="n">
        <v>45666.85503472222</v>
      </c>
      <c r="K204" s="11" t="n">
        <v>0.0008333333333333334</v>
      </c>
      <c r="L204" s="13" t="n"/>
    </row>
    <row r="205">
      <c r="A205" s="3" t="inlineStr">
        <is>
          <t>DepartureDrive</t>
        </is>
      </c>
      <c r="B205" s="3" t="inlineStr">
        <is>
          <t>Act_DEPD_OBT090125232040-Salzburg_000955_605</t>
        </is>
      </c>
      <c r="C205" s="3" t="inlineStr">
        <is>
          <t>OBT090125232040-Salzburg</t>
        </is>
      </c>
      <c r="D205" s="9" t="n">
        <v>192</v>
      </c>
      <c r="E205" s="3" t="inlineStr">
        <is>
          <t>605</t>
        </is>
      </c>
      <c r="F205" s="3" t="inlineStr">
        <is>
          <t>Exit gate</t>
        </is>
      </c>
      <c r="G205" s="9" t="n">
        <v>286.14</v>
      </c>
      <c r="H205" s="10" t="n">
        <v>45667.00688657408</v>
      </c>
      <c r="I205" s="10" t="n">
        <v>45667.00688657408</v>
      </c>
      <c r="J205" s="10" t="n">
        <v>45667.00792824074</v>
      </c>
      <c r="K205" s="11" t="n">
        <v>0.001041666666666667</v>
      </c>
      <c r="L205" s="13" t="n"/>
    </row>
    <row r="206">
      <c r="A206" s="3" t="inlineStr">
        <is>
          <t>DepartureDrive</t>
        </is>
      </c>
      <c r="B206" s="3" t="inlineStr">
        <is>
          <t>Act_DEPD_OBT100125080623-Klagenfurt_083938_627</t>
        </is>
      </c>
      <c r="C206" s="3" t="inlineStr">
        <is>
          <t>OBT100125080623-Klagenfurt</t>
        </is>
      </c>
      <c r="D206" s="9" t="n">
        <v>128</v>
      </c>
      <c r="E206" s="3" t="inlineStr">
        <is>
          <t>627</t>
        </is>
      </c>
      <c r="F206" s="3" t="inlineStr">
        <is>
          <t>Exit gate</t>
        </is>
      </c>
      <c r="G206" s="9" t="n">
        <v>188.33</v>
      </c>
      <c r="H206" s="10" t="n">
        <v>45667.36085648148</v>
      </c>
      <c r="I206" s="10" t="n">
        <v>45667.36085648148</v>
      </c>
      <c r="J206" s="10" t="n">
        <v>45667.36155092593</v>
      </c>
      <c r="K206" s="11" t="n">
        <v>0.0006944444444444445</v>
      </c>
      <c r="L206" s="13" t="n"/>
    </row>
    <row r="207">
      <c r="A207" s="3" t="inlineStr">
        <is>
          <t>DepartureDrive</t>
        </is>
      </c>
      <c r="B207" s="3" t="inlineStr">
        <is>
          <t>Act_DEPD_OBT100125093309-Graz_101022_615</t>
        </is>
      </c>
      <c r="C207" s="3" t="inlineStr">
        <is>
          <t>OBT100125093309-Graz</t>
        </is>
      </c>
      <c r="D207" s="9" t="n">
        <v>144</v>
      </c>
      <c r="E207" s="3" t="inlineStr">
        <is>
          <t>615</t>
        </is>
      </c>
      <c r="F207" s="3" t="inlineStr">
        <is>
          <t>Exit gate</t>
        </is>
      </c>
      <c r="G207" s="9" t="n">
        <v>223.61</v>
      </c>
      <c r="H207" s="10" t="n">
        <v>45667.42386574074</v>
      </c>
      <c r="I207" s="10" t="n">
        <v>45667.42386574074</v>
      </c>
      <c r="J207" s="10" t="n">
        <v>45667.42466435185</v>
      </c>
      <c r="K207" s="11" t="n">
        <v>0.0007986111111111112</v>
      </c>
      <c r="L207" s="13" t="n"/>
    </row>
    <row r="208">
      <c r="A208" s="3" t="inlineStr">
        <is>
          <t>DepartureDrive</t>
        </is>
      </c>
      <c r="B208" s="3" t="inlineStr">
        <is>
          <t>Act_DEPD_OBT100125133454-Linz_140922_615</t>
        </is>
      </c>
      <c r="C208" s="3" t="inlineStr">
        <is>
          <t>OBT100125133454-Linz</t>
        </is>
      </c>
      <c r="D208" s="9" t="n">
        <v>128</v>
      </c>
      <c r="E208" s="3" t="inlineStr">
        <is>
          <t>615</t>
        </is>
      </c>
      <c r="F208" s="3" t="inlineStr">
        <is>
          <t>Exit gate</t>
        </is>
      </c>
      <c r="G208" s="9" t="n">
        <v>223.61</v>
      </c>
      <c r="H208" s="10" t="n">
        <v>45667.58983796297</v>
      </c>
      <c r="I208" s="10" t="n">
        <v>45667.58983796297</v>
      </c>
      <c r="J208" s="10" t="n">
        <v>45667.59060185185</v>
      </c>
      <c r="K208" s="11" t="n">
        <v>0.0007638888888888889</v>
      </c>
      <c r="L208" s="13" t="n"/>
    </row>
    <row r="209">
      <c r="A209" s="3" t="inlineStr">
        <is>
          <t>DepartureDrive</t>
        </is>
      </c>
      <c r="B209" s="3" t="inlineStr">
        <is>
          <t>Act_DEPD_OBT100125133507-Ljubljana_142141_625</t>
        </is>
      </c>
      <c r="C209" s="3" t="inlineStr">
        <is>
          <t>OBT100125133507-Ljubljana</t>
        </is>
      </c>
      <c r="D209" s="9" t="n">
        <v>176</v>
      </c>
      <c r="E209" s="3" t="inlineStr">
        <is>
          <t>625</t>
        </is>
      </c>
      <c r="F209" s="3" t="inlineStr">
        <is>
          <t>Exit gate</t>
        </is>
      </c>
      <c r="G209" s="9" t="n">
        <v>240.31</v>
      </c>
      <c r="H209" s="10" t="n">
        <v>45667.5983912037</v>
      </c>
      <c r="I209" s="10" t="n">
        <v>45667.5983912037</v>
      </c>
      <c r="J209" s="10" t="n">
        <v>45667.59930555556</v>
      </c>
      <c r="K209" s="11" t="n">
        <v>0.0009143518518518518</v>
      </c>
      <c r="L209" s="13" t="n"/>
    </row>
    <row r="210">
      <c r="A210" s="3" t="inlineStr">
        <is>
          <t>DepartureDrive</t>
        </is>
      </c>
      <c r="B210" s="3" t="inlineStr">
        <is>
          <t>Act_DEPD_OBT100125133517-Salzburg_143041_623</t>
        </is>
      </c>
      <c r="C210" s="3" t="inlineStr">
        <is>
          <t>OBT100125133517-Salzburg</t>
        </is>
      </c>
      <c r="D210" s="9" t="n">
        <v>128</v>
      </c>
      <c r="E210" s="3" t="inlineStr">
        <is>
          <t>623</t>
        </is>
      </c>
      <c r="F210" s="3" t="inlineStr">
        <is>
          <t>Exit gate</t>
        </is>
      </c>
      <c r="G210" s="9" t="n">
        <v>259.31</v>
      </c>
      <c r="H210" s="10" t="n">
        <v>45667.6046412037</v>
      </c>
      <c r="I210" s="10" t="n">
        <v>45667.6046412037</v>
      </c>
      <c r="J210" s="10" t="n">
        <v>45667.60547453703</v>
      </c>
      <c r="K210" s="11" t="n">
        <v>0.0008333333333333334</v>
      </c>
      <c r="L210" s="13" t="n"/>
    </row>
    <row r="211">
      <c r="A211" s="3" t="inlineStr">
        <is>
          <t>DepartureDrive</t>
        </is>
      </c>
      <c r="B211" s="3" t="inlineStr">
        <is>
          <t>Act_DEPD_OBT100125134146-Graz_144352_619</t>
        </is>
      </c>
      <c r="C211" s="3" t="inlineStr">
        <is>
          <t>OBT100125134146-Graz</t>
        </is>
      </c>
      <c r="D211" s="9" t="n">
        <v>128</v>
      </c>
      <c r="E211" s="3" t="inlineStr">
        <is>
          <t>619</t>
        </is>
      </c>
      <c r="F211" s="3" t="inlineStr">
        <is>
          <t>Exit gate</t>
        </is>
      </c>
      <c r="G211" s="9" t="n">
        <v>262.93</v>
      </c>
      <c r="H211" s="10" t="n">
        <v>45667.6137962963</v>
      </c>
      <c r="I211" s="10" t="n">
        <v>45667.6137962963</v>
      </c>
      <c r="J211" s="10" t="n">
        <v>45667.61464120371</v>
      </c>
      <c r="K211" s="11" t="n">
        <v>0.0008449074074074074</v>
      </c>
      <c r="L211" s="13" t="n"/>
    </row>
    <row r="212">
      <c r="A212" s="3" t="inlineStr">
        <is>
          <t>DepartureDrive</t>
        </is>
      </c>
      <c r="B212" s="3" t="inlineStr">
        <is>
          <t>Act_DEPD_OBT100125135618-Vienna_150806_605</t>
        </is>
      </c>
      <c r="C212" s="3" t="inlineStr">
        <is>
          <t>OBT100125135618-Vienna</t>
        </is>
      </c>
      <c r="D212" s="9" t="n">
        <v>176</v>
      </c>
      <c r="E212" s="3" t="inlineStr">
        <is>
          <t>605</t>
        </is>
      </c>
      <c r="F212" s="3" t="inlineStr">
        <is>
          <t>Exit gate</t>
        </is>
      </c>
      <c r="G212" s="9" t="n">
        <v>286.14</v>
      </c>
      <c r="H212" s="10" t="n">
        <v>45667.630625</v>
      </c>
      <c r="I212" s="10" t="n">
        <v>45667.630625</v>
      </c>
      <c r="J212" s="10" t="n">
        <v>45667.63162037037</v>
      </c>
      <c r="K212" s="11" t="n">
        <v>0.0009953703703703704</v>
      </c>
      <c r="L212" s="13" t="n"/>
    </row>
    <row r="213">
      <c r="A213" s="3" t="inlineStr">
        <is>
          <t>DepartureDrive</t>
        </is>
      </c>
      <c r="B213" s="3" t="inlineStr">
        <is>
          <t>Act_DEPD_OBT100125152926-Budapest_160241_613</t>
        </is>
      </c>
      <c r="C213" s="3" t="inlineStr">
        <is>
          <t>OBT100125152926-Budapest</t>
        </is>
      </c>
      <c r="D213" s="9" t="n">
        <v>128</v>
      </c>
      <c r="E213" s="3" t="inlineStr">
        <is>
          <t>613</t>
        </is>
      </c>
      <c r="F213" s="3" t="inlineStr">
        <is>
          <t>Exit gate</t>
        </is>
      </c>
      <c r="G213" s="9" t="n">
        <v>205.9</v>
      </c>
      <c r="H213" s="10" t="n">
        <v>45667.66853009259</v>
      </c>
      <c r="I213" s="10" t="n">
        <v>45667.66853009259</v>
      </c>
      <c r="J213" s="10" t="n">
        <v>45667.66924768518</v>
      </c>
      <c r="K213" s="11" t="n">
        <v>0.0007175925925925926</v>
      </c>
      <c r="L213" s="13" t="n"/>
    </row>
    <row r="214">
      <c r="A214" s="3" t="inlineStr">
        <is>
          <t>DepartureDrive</t>
        </is>
      </c>
      <c r="B214" s="3" t="inlineStr">
        <is>
          <t>Act_DEPD_OBT100125154054-Graz_161409_625</t>
        </is>
      </c>
      <c r="C214" s="3" t="inlineStr">
        <is>
          <t>OBT100125154054-Graz</t>
        </is>
      </c>
      <c r="D214" s="9" t="n">
        <v>128</v>
      </c>
      <c r="E214" s="3" t="inlineStr">
        <is>
          <t>625</t>
        </is>
      </c>
      <c r="F214" s="3" t="inlineStr">
        <is>
          <t>Exit gate</t>
        </is>
      </c>
      <c r="G214" s="9" t="n">
        <v>240.31</v>
      </c>
      <c r="H214" s="10" t="n">
        <v>45667.67649305556</v>
      </c>
      <c r="I214" s="10" t="n">
        <v>45667.67649305556</v>
      </c>
      <c r="J214" s="10" t="n">
        <v>45667.67728009259</v>
      </c>
      <c r="K214" s="11" t="n">
        <v>0.000787037037037037</v>
      </c>
      <c r="L214" s="13" t="n"/>
    </row>
    <row r="215">
      <c r="A215" s="3" t="inlineStr">
        <is>
          <t>DepartureDrive</t>
        </is>
      </c>
      <c r="B215" s="3" t="inlineStr">
        <is>
          <t>Act_DEPD_OBT100125162009-Salzburg_170124_605</t>
        </is>
      </c>
      <c r="C215" s="3" t="inlineStr">
        <is>
          <t>OBT100125162009-Salzburg</t>
        </is>
      </c>
      <c r="D215" s="9" t="n">
        <v>160</v>
      </c>
      <c r="E215" s="3" t="inlineStr">
        <is>
          <t>605</t>
        </is>
      </c>
      <c r="F215" s="3" t="inlineStr">
        <is>
          <t>Exit gate</t>
        </is>
      </c>
      <c r="G215" s="9" t="n">
        <v>286.14</v>
      </c>
      <c r="H215" s="10" t="n">
        <v>45667.70930555555</v>
      </c>
      <c r="I215" s="10" t="n">
        <v>45667.70930555555</v>
      </c>
      <c r="J215" s="10" t="n">
        <v>45667.71026620371</v>
      </c>
      <c r="K215" s="11" t="n">
        <v>0.0009606481481481482</v>
      </c>
      <c r="L215" s="13" t="n"/>
    </row>
    <row r="216">
      <c r="A216" s="3" t="inlineStr">
        <is>
          <t>DepartureDrive</t>
        </is>
      </c>
      <c r="B216" s="3" t="inlineStr">
        <is>
          <t>Act_DEPD_OBT100125165112-Innsbruck_173224_606</t>
        </is>
      </c>
      <c r="C216" s="3" t="inlineStr">
        <is>
          <t>OBT100125165112-Innsbruck</t>
        </is>
      </c>
      <c r="D216" s="9" t="n">
        <v>160</v>
      </c>
      <c r="E216" s="3" t="inlineStr">
        <is>
          <t>606</t>
        </is>
      </c>
      <c r="F216" s="3" t="inlineStr">
        <is>
          <t>Exit gate</t>
        </is>
      </c>
      <c r="G216" s="9" t="n">
        <v>245</v>
      </c>
      <c r="H216" s="10" t="n">
        <v>45667.73083333333</v>
      </c>
      <c r="I216" s="10" t="n">
        <v>45667.73083333333</v>
      </c>
      <c r="J216" s="10" t="n">
        <v>45667.73171296297</v>
      </c>
      <c r="K216" s="11" t="n">
        <v>0.0008796296296296296</v>
      </c>
      <c r="L216" s="13" t="n"/>
    </row>
    <row r="217">
      <c r="A217" s="3" t="inlineStr">
        <is>
          <t>DepartureDrive</t>
        </is>
      </c>
      <c r="B217" s="3" t="inlineStr">
        <is>
          <t>Act_DEPD_OBT100125165346-Linz_174016_607</t>
        </is>
      </c>
      <c r="C217" s="3" t="inlineStr">
        <is>
          <t>OBT100125165346-Linz</t>
        </is>
      </c>
      <c r="D217" s="9" t="n">
        <v>176</v>
      </c>
      <c r="E217" s="3" t="inlineStr">
        <is>
          <t>607</t>
        </is>
      </c>
      <c r="F217" s="3" t="inlineStr">
        <is>
          <t>Exit gate</t>
        </is>
      </c>
      <c r="G217" s="9" t="n">
        <v>286.14</v>
      </c>
      <c r="H217" s="10" t="n">
        <v>45667.73629629629</v>
      </c>
      <c r="I217" s="10" t="n">
        <v>45667.73629629629</v>
      </c>
      <c r="J217" s="10" t="n">
        <v>45667.73730324074</v>
      </c>
      <c r="K217" s="11" t="n">
        <v>0.001006944444444444</v>
      </c>
      <c r="L217" s="13" t="n"/>
    </row>
    <row r="218">
      <c r="A218" s="3" t="inlineStr">
        <is>
          <t>DepartureDrive</t>
        </is>
      </c>
      <c r="B218" s="3" t="inlineStr">
        <is>
          <t>Act_DEPD_OBT110125063829-Ljubljana_070742_615</t>
        </is>
      </c>
      <c r="C218" s="3" t="inlineStr">
        <is>
          <t>OBT110125063829-Ljubljana</t>
        </is>
      </c>
      <c r="D218" s="9" t="n">
        <v>112</v>
      </c>
      <c r="E218" s="3" t="inlineStr">
        <is>
          <t>615</t>
        </is>
      </c>
      <c r="F218" s="3" t="inlineStr">
        <is>
          <t>Exit gate</t>
        </is>
      </c>
      <c r="G218" s="9" t="n">
        <v>223.61</v>
      </c>
      <c r="H218" s="10" t="n">
        <v>45668.29701388889</v>
      </c>
      <c r="I218" s="10" t="n">
        <v>45668.29701388889</v>
      </c>
      <c r="J218" s="10" t="n">
        <v>45668.29773148148</v>
      </c>
      <c r="K218" s="11" t="n">
        <v>0.0007175925925925926</v>
      </c>
      <c r="L218" s="13" t="n"/>
    </row>
    <row r="219">
      <c r="A219" s="3" t="inlineStr">
        <is>
          <t>DepartureDrive</t>
        </is>
      </c>
      <c r="B219" s="3" t="inlineStr">
        <is>
          <t>Act_DEPD_OBT110125063952-Graz_071707_619</t>
        </is>
      </c>
      <c r="C219" s="3" t="inlineStr">
        <is>
          <t>OBT110125063952-Graz</t>
        </is>
      </c>
      <c r="D219" s="9" t="n">
        <v>144</v>
      </c>
      <c r="E219" s="3" t="inlineStr">
        <is>
          <t>619</t>
        </is>
      </c>
      <c r="F219" s="3" t="inlineStr">
        <is>
          <t>Exit gate</t>
        </is>
      </c>
      <c r="G219" s="9" t="n">
        <v>262.93</v>
      </c>
      <c r="H219" s="10" t="n">
        <v>45668.30355324074</v>
      </c>
      <c r="I219" s="10" t="n">
        <v>45668.30355324074</v>
      </c>
      <c r="J219" s="10" t="n">
        <v>45668.30443287037</v>
      </c>
      <c r="K219" s="11" t="n">
        <v>0.0008796296296296296</v>
      </c>
      <c r="L219" s="13" t="n"/>
    </row>
    <row r="220">
      <c r="A220" s="3" t="inlineStr">
        <is>
          <t>DepartureDrive</t>
        </is>
      </c>
      <c r="B220" s="3" t="inlineStr">
        <is>
          <t>Act_DEPD_OBT110125071413-Ljubljana_075927_607</t>
        </is>
      </c>
      <c r="C220" s="3" t="inlineStr">
        <is>
          <t>OBT110125071413-Ljubljana</t>
        </is>
      </c>
      <c r="D220" s="9" t="n">
        <v>176</v>
      </c>
      <c r="E220" s="3" t="inlineStr">
        <is>
          <t>607</t>
        </is>
      </c>
      <c r="F220" s="3" t="inlineStr">
        <is>
          <t>Exit gate</t>
        </is>
      </c>
      <c r="G220" s="9" t="n">
        <v>286.14</v>
      </c>
      <c r="H220" s="10" t="n">
        <v>45668.33295138889</v>
      </c>
      <c r="I220" s="10" t="n">
        <v>45668.33295138889</v>
      </c>
      <c r="J220" s="10" t="n">
        <v>45668.33394675926</v>
      </c>
      <c r="K220" s="11" t="n">
        <v>0.0009953703703703704</v>
      </c>
      <c r="L220" s="13" t="n"/>
    </row>
    <row r="221">
      <c r="A221" s="3" t="inlineStr">
        <is>
          <t>DepartureDrive</t>
        </is>
      </c>
      <c r="B221" s="3" t="inlineStr">
        <is>
          <t>Act_DEPD_OBT110125074027-Salzburg_081933_625</t>
        </is>
      </c>
      <c r="C221" s="3" t="inlineStr">
        <is>
          <t>OBT110125074027-Salzburg</t>
        </is>
      </c>
      <c r="D221" s="9" t="n">
        <v>128</v>
      </c>
      <c r="E221" s="3" t="inlineStr">
        <is>
          <t>625</t>
        </is>
      </c>
      <c r="F221" s="3" t="inlineStr">
        <is>
          <t>Exit gate</t>
        </is>
      </c>
      <c r="G221" s="9" t="n">
        <v>240.31</v>
      </c>
      <c r="H221" s="10" t="n">
        <v>45668.34690972222</v>
      </c>
      <c r="I221" s="10" t="n">
        <v>45668.34690972222</v>
      </c>
      <c r="J221" s="10" t="n">
        <v>45668.34769675926</v>
      </c>
      <c r="K221" s="11" t="n">
        <v>0.000787037037037037</v>
      </c>
      <c r="L221" s="13" t="n"/>
    </row>
    <row r="222">
      <c r="A222" s="3" t="inlineStr">
        <is>
          <t>DepartureDrive</t>
        </is>
      </c>
      <c r="B222" s="3" t="inlineStr">
        <is>
          <t>Act_DEPD_OBT110125073539-Innsbruck_082657_623</t>
        </is>
      </c>
      <c r="C222" s="3" t="inlineStr">
        <is>
          <t>OBT110125073539-Innsbruck</t>
        </is>
      </c>
      <c r="D222" s="9" t="n">
        <v>176</v>
      </c>
      <c r="E222" s="3" t="inlineStr">
        <is>
          <t>623</t>
        </is>
      </c>
      <c r="F222" s="3" t="inlineStr">
        <is>
          <t>Exit gate</t>
        </is>
      </c>
      <c r="G222" s="9" t="n">
        <v>259.31</v>
      </c>
      <c r="H222" s="10" t="n">
        <v>45668.35204861111</v>
      </c>
      <c r="I222" s="10" t="n">
        <v>45668.35204861111</v>
      </c>
      <c r="J222" s="10" t="n">
        <v>45668.35299768519</v>
      </c>
      <c r="K222" s="11" t="n">
        <v>0.0009490740740740741</v>
      </c>
      <c r="L222" s="13" t="n"/>
    </row>
    <row r="223">
      <c r="A223" s="3" t="inlineStr">
        <is>
          <t>DepartureDrive</t>
        </is>
      </c>
      <c r="B223" s="3" t="inlineStr">
        <is>
          <t>Act_DEPD_OBT110125122417-Budapest_125732_613</t>
        </is>
      </c>
      <c r="C223" s="3" t="inlineStr">
        <is>
          <t>OBT110125122417-Budapest</t>
        </is>
      </c>
      <c r="D223" s="9" t="n">
        <v>128</v>
      </c>
      <c r="E223" s="3" t="inlineStr">
        <is>
          <t>613</t>
        </is>
      </c>
      <c r="F223" s="3" t="inlineStr">
        <is>
          <t>Exit gate</t>
        </is>
      </c>
      <c r="G223" s="9" t="n">
        <v>205.9</v>
      </c>
      <c r="H223" s="10" t="n">
        <v>45668.5399537037</v>
      </c>
      <c r="I223" s="10" t="n">
        <v>45668.5399537037</v>
      </c>
      <c r="J223" s="10" t="n">
        <v>45668.54067129629</v>
      </c>
      <c r="K223" s="11" t="n">
        <v>0.0007175925925925926</v>
      </c>
      <c r="L223" s="13" t="n"/>
    </row>
    <row r="224">
      <c r="A224" s="3" t="inlineStr">
        <is>
          <t>DepartureDrive</t>
        </is>
      </c>
      <c r="B224" s="3" t="inlineStr">
        <is>
          <t>Act_DEPD_OBT110125130204-Ljubljana_133348_625</t>
        </is>
      </c>
      <c r="C224" s="3" t="inlineStr">
        <is>
          <t>OBT110125130204-Ljubljana</t>
        </is>
      </c>
      <c r="D224" s="9" t="n">
        <v>112</v>
      </c>
      <c r="E224" s="3" t="inlineStr">
        <is>
          <t>625</t>
        </is>
      </c>
      <c r="F224" s="3" t="inlineStr">
        <is>
          <t>Exit gate</t>
        </is>
      </c>
      <c r="G224" s="9" t="n">
        <v>240.31</v>
      </c>
      <c r="H224" s="10" t="n">
        <v>45668.56513888889</v>
      </c>
      <c r="I224" s="10" t="n">
        <v>45668.56513888889</v>
      </c>
      <c r="J224" s="10" t="n">
        <v>45668.5658912037</v>
      </c>
      <c r="K224" s="11" t="n">
        <v>0.0007523148148148148</v>
      </c>
      <c r="L224" s="13" t="n"/>
    </row>
    <row r="225">
      <c r="A225" s="3" t="inlineStr">
        <is>
          <t>DepartureDrive</t>
        </is>
      </c>
      <c r="B225" s="3" t="inlineStr">
        <is>
          <t>Act_DEPD_OBT110125125652-Vienna_134002_605</t>
        </is>
      </c>
      <c r="C225" s="3" t="inlineStr">
        <is>
          <t>OBT110125125652-Vienna</t>
        </is>
      </c>
      <c r="D225" s="9" t="n">
        <v>160</v>
      </c>
      <c r="E225" s="3" t="inlineStr">
        <is>
          <t>605</t>
        </is>
      </c>
      <c r="F225" s="3" t="inlineStr">
        <is>
          <t>Exit gate</t>
        </is>
      </c>
      <c r="G225" s="9" t="n">
        <v>286.14</v>
      </c>
      <c r="H225" s="10" t="n">
        <v>45668.56946759259</v>
      </c>
      <c r="I225" s="10" t="n">
        <v>45668.56946759259</v>
      </c>
      <c r="J225" s="10" t="n">
        <v>45668.57042824074</v>
      </c>
      <c r="K225" s="11" t="n">
        <v>0.0009606481481481482</v>
      </c>
      <c r="L225" s="13" t="n"/>
    </row>
    <row r="226">
      <c r="A226" s="3" t="inlineStr">
        <is>
          <t>DepartureDrive</t>
        </is>
      </c>
      <c r="B226" s="3" t="inlineStr">
        <is>
          <t>Act_DEPD_OBT110125130321-Klagenfurt_141214_627</t>
        </is>
      </c>
      <c r="C226" s="3" t="inlineStr">
        <is>
          <t>OBT110125130321-Klagenfurt</t>
        </is>
      </c>
      <c r="D226" s="9" t="n">
        <v>144</v>
      </c>
      <c r="E226" s="3" t="inlineStr">
        <is>
          <t>627</t>
        </is>
      </c>
      <c r="F226" s="3" t="inlineStr">
        <is>
          <t>Exit gate</t>
        </is>
      </c>
      <c r="G226" s="9" t="n">
        <v>188.33</v>
      </c>
      <c r="H226" s="10" t="n">
        <v>45668.59182870371</v>
      </c>
      <c r="I226" s="10" t="n">
        <v>45668.59182870371</v>
      </c>
      <c r="J226" s="10" t="n">
        <v>45668.59255787037</v>
      </c>
      <c r="K226" s="11" t="n">
        <v>0.0007291666666666667</v>
      </c>
      <c r="L226" s="13" t="n"/>
    </row>
    <row r="227">
      <c r="A227" s="3" t="inlineStr">
        <is>
          <t>DepartureDrive</t>
        </is>
      </c>
      <c r="B227" s="3" t="inlineStr">
        <is>
          <t>Act_DEPD_OBT110125130624-Salzburg_142112_615</t>
        </is>
      </c>
      <c r="C227" s="3" t="inlineStr">
        <is>
          <t>OBT110125130624-Salzburg</t>
        </is>
      </c>
      <c r="D227" s="9" t="n">
        <v>160</v>
      </c>
      <c r="E227" s="3" t="inlineStr">
        <is>
          <t>615</t>
        </is>
      </c>
      <c r="F227" s="3" t="inlineStr">
        <is>
          <t>Exit gate</t>
        </is>
      </c>
      <c r="G227" s="9" t="n">
        <v>223.61</v>
      </c>
      <c r="H227" s="10" t="n">
        <v>45668.59805555556</v>
      </c>
      <c r="I227" s="10" t="n">
        <v>45668.59805555556</v>
      </c>
      <c r="J227" s="10" t="n">
        <v>45668.59888888889</v>
      </c>
      <c r="K227" s="11" t="n">
        <v>0.0008333333333333334</v>
      </c>
      <c r="L227" s="13" t="n"/>
    </row>
    <row r="228">
      <c r="A228" s="3" t="inlineStr">
        <is>
          <t>DepartureDrive</t>
        </is>
      </c>
      <c r="B228" s="3" t="inlineStr">
        <is>
          <t>Act_DEPD_OBT110125133600-Ljubljana_142632_613</t>
        </is>
      </c>
      <c r="C228" s="3" t="inlineStr">
        <is>
          <t>OBT110125133600-Ljubljana</t>
        </is>
      </c>
      <c r="D228" s="9" t="n">
        <v>176</v>
      </c>
      <c r="E228" s="3" t="inlineStr">
        <is>
          <t>613</t>
        </is>
      </c>
      <c r="F228" s="3" t="inlineStr">
        <is>
          <t>Exit gate</t>
        </is>
      </c>
      <c r="G228" s="9" t="n">
        <v>205.9</v>
      </c>
      <c r="H228" s="10" t="n">
        <v>45668.60175925926</v>
      </c>
      <c r="I228" s="10" t="n">
        <v>45668.60175925926</v>
      </c>
      <c r="J228" s="10" t="n">
        <v>45668.60259259259</v>
      </c>
      <c r="K228" s="11" t="n">
        <v>0.0008333333333333334</v>
      </c>
      <c r="L228" s="13" t="n"/>
    </row>
    <row r="229">
      <c r="A229" s="3" t="inlineStr">
        <is>
          <t>DepartureDrive</t>
        </is>
      </c>
      <c r="B229" s="3" t="inlineStr">
        <is>
          <t>Act_DEPD_OBT110125213155-Vienna_220110_607</t>
        </is>
      </c>
      <c r="C229" s="3" t="inlineStr">
        <is>
          <t>OBT110125213155-Vienna</t>
        </is>
      </c>
      <c r="D229" s="9" t="n">
        <v>112</v>
      </c>
      <c r="E229" s="3" t="inlineStr">
        <is>
          <t>607</t>
        </is>
      </c>
      <c r="F229" s="3" t="inlineStr">
        <is>
          <t>Exit gate</t>
        </is>
      </c>
      <c r="G229" s="9" t="n">
        <v>286.14</v>
      </c>
      <c r="H229" s="10" t="n">
        <v>45668.91747685185</v>
      </c>
      <c r="I229" s="10" t="n">
        <v>45668.91747685185</v>
      </c>
      <c r="J229" s="10" t="n">
        <v>45668.91833333333</v>
      </c>
      <c r="K229" s="11" t="n">
        <v>0.0008564814814814815</v>
      </c>
      <c r="L229" s="13" t="n"/>
    </row>
    <row r="230">
      <c r="A230" s="3" t="inlineStr">
        <is>
          <t>DepartureDrive</t>
        </is>
      </c>
      <c r="B230" s="3" t="inlineStr">
        <is>
          <t>Act_DEPD_OBT110125215724-Graz_230237_606</t>
        </is>
      </c>
      <c r="C230" s="3" t="inlineStr">
        <is>
          <t>OBT110125215724-Graz</t>
        </is>
      </c>
      <c r="D230" s="9" t="n">
        <v>256</v>
      </c>
      <c r="E230" s="3" t="inlineStr">
        <is>
          <t>606</t>
        </is>
      </c>
      <c r="F230" s="3" t="inlineStr">
        <is>
          <t>Exit gate</t>
        </is>
      </c>
      <c r="G230" s="9" t="n">
        <v>245</v>
      </c>
      <c r="H230" s="10" t="n">
        <v>45668.96015046296</v>
      </c>
      <c r="I230" s="10" t="n">
        <v>45668.96015046296</v>
      </c>
      <c r="J230" s="10" t="n">
        <v>45668.96125</v>
      </c>
      <c r="K230" s="11" t="n">
        <v>0.001099537037037037</v>
      </c>
      <c r="L230" s="13" t="n"/>
    </row>
    <row r="231">
      <c r="A231" s="3" t="inlineStr">
        <is>
          <t>DepartureDrive</t>
        </is>
      </c>
      <c r="B231" s="3" t="inlineStr">
        <is>
          <t>Act_DEPD_OBT120125000412-Salzburg_003725_627</t>
        </is>
      </c>
      <c r="C231" s="3" t="inlineStr">
        <is>
          <t>OBT120125000412-Salzburg</t>
        </is>
      </c>
      <c r="D231" s="9" t="n">
        <v>128</v>
      </c>
      <c r="E231" s="3" t="inlineStr">
        <is>
          <t>627</t>
        </is>
      </c>
      <c r="F231" s="3" t="inlineStr">
        <is>
          <t>Exit gate</t>
        </is>
      </c>
      <c r="G231" s="9" t="n">
        <v>188.33</v>
      </c>
      <c r="H231" s="10" t="n">
        <v>45669.02598379629</v>
      </c>
      <c r="I231" s="10" t="n">
        <v>45669.02598379629</v>
      </c>
      <c r="J231" s="10" t="n">
        <v>45669.02666666666</v>
      </c>
      <c r="K231" s="11" t="n">
        <v>0.0006828703703703704</v>
      </c>
      <c r="L231" s="13" t="n"/>
    </row>
    <row r="232">
      <c r="A232" s="3" t="inlineStr">
        <is>
          <t>DepartureDrive</t>
        </is>
      </c>
      <c r="B232" s="3" t="inlineStr">
        <is>
          <t>Act_DEPD_OBT120125083654-Innsbruck_091406_615</t>
        </is>
      </c>
      <c r="C232" s="3" t="inlineStr">
        <is>
          <t>OBT120125083654-Innsbruck</t>
        </is>
      </c>
      <c r="D232" s="9" t="n">
        <v>144</v>
      </c>
      <c r="E232" s="3" t="inlineStr">
        <is>
          <t>615</t>
        </is>
      </c>
      <c r="F232" s="3" t="inlineStr">
        <is>
          <t>Exit gate</t>
        </is>
      </c>
      <c r="G232" s="9" t="n">
        <v>223.61</v>
      </c>
      <c r="H232" s="10" t="n">
        <v>45669.38479166666</v>
      </c>
      <c r="I232" s="10" t="n">
        <v>45669.38479166666</v>
      </c>
      <c r="J232" s="10" t="n">
        <v>45669.38559027778</v>
      </c>
      <c r="K232" s="11" t="n">
        <v>0.0007986111111111112</v>
      </c>
      <c r="L232" s="13" t="n"/>
    </row>
    <row r="233">
      <c r="A233" s="3" t="inlineStr">
        <is>
          <t>DepartureDrive</t>
        </is>
      </c>
      <c r="B233" s="3" t="inlineStr">
        <is>
          <t>Act_DEPD_OBT120125084207-Klagenfurt_092322_619</t>
        </is>
      </c>
      <c r="C233" s="3" t="inlineStr">
        <is>
          <t>OBT120125084207-Klagenfurt</t>
        </is>
      </c>
      <c r="D233" s="9" t="n">
        <v>160</v>
      </c>
      <c r="E233" s="3" t="inlineStr">
        <is>
          <t>619</t>
        </is>
      </c>
      <c r="F233" s="3" t="inlineStr">
        <is>
          <t>Exit gate</t>
        </is>
      </c>
      <c r="G233" s="9" t="n">
        <v>262.93</v>
      </c>
      <c r="H233" s="10" t="n">
        <v>45669.39122685185</v>
      </c>
      <c r="I233" s="10" t="n">
        <v>45669.39122685185</v>
      </c>
      <c r="J233" s="10" t="n">
        <v>45669.39215277778</v>
      </c>
      <c r="K233" s="11" t="n">
        <v>0.000925925925925926</v>
      </c>
      <c r="L233" s="13" t="n"/>
    </row>
    <row r="234">
      <c r="A234" s="3" t="inlineStr">
        <is>
          <t>DepartureDrive</t>
        </is>
      </c>
      <c r="B234" s="3" t="inlineStr">
        <is>
          <t>Act_DEPD_OBT120125095853-Linz_103201_609</t>
        </is>
      </c>
      <c r="C234" s="3" t="inlineStr">
        <is>
          <t>OBT120125095853-Linz</t>
        </is>
      </c>
      <c r="D234" s="9" t="n">
        <v>128</v>
      </c>
      <c r="E234" s="3" t="inlineStr">
        <is>
          <t>609</t>
        </is>
      </c>
      <c r="F234" s="3" t="inlineStr">
        <is>
          <t>Exit gate</t>
        </is>
      </c>
      <c r="G234" s="9" t="n">
        <v>259.16</v>
      </c>
      <c r="H234" s="10" t="n">
        <v>45669.43890046296</v>
      </c>
      <c r="I234" s="10" t="n">
        <v>45669.43890046296</v>
      </c>
      <c r="J234" s="10" t="n">
        <v>45669.43973379629</v>
      </c>
      <c r="K234" s="11" t="n">
        <v>0.0008333333333333334</v>
      </c>
      <c r="L234" s="13" t="n"/>
    </row>
    <row r="235">
      <c r="A235" s="3" t="inlineStr">
        <is>
          <t>DepartureDrive</t>
        </is>
      </c>
      <c r="B235" s="3" t="inlineStr">
        <is>
          <t>Act_DEPD_OBT120125104405-Budapest_111714_623</t>
        </is>
      </c>
      <c r="C235" s="3" t="inlineStr">
        <is>
          <t>OBT120125104405-Budapest</t>
        </is>
      </c>
      <c r="D235" s="9" t="n">
        <v>128</v>
      </c>
      <c r="E235" s="3" t="inlineStr">
        <is>
          <t>623</t>
        </is>
      </c>
      <c r="F235" s="3" t="inlineStr">
        <is>
          <t>Exit gate</t>
        </is>
      </c>
      <c r="G235" s="9" t="n">
        <v>259.31</v>
      </c>
      <c r="H235" s="10" t="n">
        <v>45669.47030092592</v>
      </c>
      <c r="I235" s="10" t="n">
        <v>45669.47030092592</v>
      </c>
      <c r="J235" s="10" t="n">
        <v>45669.47113425926</v>
      </c>
      <c r="K235" s="11" t="n">
        <v>0.0008333333333333334</v>
      </c>
      <c r="L235" s="13" t="n"/>
    </row>
    <row r="236">
      <c r="A236" s="3" t="inlineStr">
        <is>
          <t>DepartureDrive</t>
        </is>
      </c>
      <c r="B236" s="3" t="inlineStr">
        <is>
          <t>Act_DEPD_OBT120125113345-Salzburg_121058_605</t>
        </is>
      </c>
      <c r="C236" s="3" t="inlineStr">
        <is>
          <t>OBT120125113345-Salzburg</t>
        </is>
      </c>
      <c r="D236" s="9" t="n">
        <v>144</v>
      </c>
      <c r="E236" s="3" t="inlineStr">
        <is>
          <t>605</t>
        </is>
      </c>
      <c r="F236" s="3" t="inlineStr">
        <is>
          <t>Exit gate</t>
        </is>
      </c>
      <c r="G236" s="9" t="n">
        <v>286.14</v>
      </c>
      <c r="H236" s="10" t="n">
        <v>45669.50761574074</v>
      </c>
      <c r="I236" s="10" t="n">
        <v>45669.50761574074</v>
      </c>
      <c r="J236" s="10" t="n">
        <v>45669.50854166667</v>
      </c>
      <c r="K236" s="11" t="n">
        <v>0.000925925925925926</v>
      </c>
      <c r="L236" s="13" t="n"/>
    </row>
    <row r="237">
      <c r="A237" s="3" t="inlineStr">
        <is>
          <t>DepartureDrive</t>
        </is>
      </c>
      <c r="B237" s="3" t="inlineStr">
        <is>
          <t>Act_DEPD_OBT120125121725-Ljubljana_125438_613</t>
        </is>
      </c>
      <c r="C237" s="3" t="inlineStr">
        <is>
          <t>OBT120125121725-Ljubljana</t>
        </is>
      </c>
      <c r="D237" s="9" t="n">
        <v>144</v>
      </c>
      <c r="E237" s="3" t="inlineStr">
        <is>
          <t>613</t>
        </is>
      </c>
      <c r="F237" s="3" t="inlineStr">
        <is>
          <t>Exit gate</t>
        </is>
      </c>
      <c r="G237" s="9" t="n">
        <v>205.9</v>
      </c>
      <c r="H237" s="10" t="n">
        <v>45669.53793981481</v>
      </c>
      <c r="I237" s="10" t="n">
        <v>45669.53793981481</v>
      </c>
      <c r="J237" s="10" t="n">
        <v>45669.53870370371</v>
      </c>
      <c r="K237" s="11" t="n">
        <v>0.0007638888888888889</v>
      </c>
      <c r="L237" s="13" t="n"/>
    </row>
    <row r="238">
      <c r="A238" s="3" t="inlineStr">
        <is>
          <t>DepartureDrive</t>
        </is>
      </c>
      <c r="B238" s="3" t="inlineStr">
        <is>
          <t>Act_DEPD_OBT120125162654-Ljubljana_165609_619</t>
        </is>
      </c>
      <c r="C238" s="3" t="inlineStr">
        <is>
          <t>OBT120125162654-Ljubljana</t>
        </is>
      </c>
      <c r="D238" s="9" t="n">
        <v>112</v>
      </c>
      <c r="E238" s="3" t="inlineStr">
        <is>
          <t>619</t>
        </is>
      </c>
      <c r="F238" s="3" t="inlineStr">
        <is>
          <t>Exit gate</t>
        </is>
      </c>
      <c r="G238" s="9" t="n">
        <v>262.93</v>
      </c>
      <c r="H238" s="10" t="n">
        <v>45669.70565972223</v>
      </c>
      <c r="I238" s="10" t="n">
        <v>45669.70565972223</v>
      </c>
      <c r="J238" s="10" t="n">
        <v>45669.70646990741</v>
      </c>
      <c r="K238" s="11" t="n">
        <v>0.0008101851851851852</v>
      </c>
      <c r="L238" s="13" t="n"/>
    </row>
    <row r="239">
      <c r="A239" s="3" t="inlineStr">
        <is>
          <t>DepartureDrive</t>
        </is>
      </c>
      <c r="B239" s="3" t="inlineStr">
        <is>
          <t>Act_DEPD_OBT120125194018-Vienna_202933_625</t>
        </is>
      </c>
      <c r="C239" s="3" t="inlineStr">
        <is>
          <t>OBT120125194018-Vienna</t>
        </is>
      </c>
      <c r="D239" s="9" t="n">
        <v>192</v>
      </c>
      <c r="E239" s="3" t="inlineStr">
        <is>
          <t>625</t>
        </is>
      </c>
      <c r="F239" s="3" t="inlineStr">
        <is>
          <t>Exit gate</t>
        </is>
      </c>
      <c r="G239" s="9" t="n">
        <v>240.31</v>
      </c>
      <c r="H239" s="10" t="n">
        <v>45669.85385416666</v>
      </c>
      <c r="I239" s="10" t="n">
        <v>45669.85385416666</v>
      </c>
      <c r="J239" s="10" t="n">
        <v>45669.85479166666</v>
      </c>
      <c r="K239" s="11" t="n">
        <v>0.0009375</v>
      </c>
      <c r="L239" s="13" t="n"/>
    </row>
    <row r="240">
      <c r="A240" s="3" t="inlineStr">
        <is>
          <t>DepartureDrive</t>
        </is>
      </c>
      <c r="B240" s="3" t="inlineStr">
        <is>
          <t>Act_DEPD_OBT120125230501-Budapest_002215_613</t>
        </is>
      </c>
      <c r="C240" s="3" t="inlineStr">
        <is>
          <t>OBT120125230501-Budapest</t>
        </is>
      </c>
      <c r="D240" s="9" t="n">
        <v>304</v>
      </c>
      <c r="E240" s="3" t="inlineStr">
        <is>
          <t>613</t>
        </is>
      </c>
      <c r="F240" s="3" t="inlineStr">
        <is>
          <t>Exit gate</t>
        </is>
      </c>
      <c r="G240" s="9" t="n">
        <v>205.9</v>
      </c>
      <c r="H240" s="10" t="n">
        <v>45670.01545138889</v>
      </c>
      <c r="I240" s="10" t="n">
        <v>45670.01545138889</v>
      </c>
      <c r="J240" s="10" t="n">
        <v>45670.01657407408</v>
      </c>
      <c r="K240" s="11" t="n">
        <v>0.001122685185185185</v>
      </c>
      <c r="L240" s="13" t="n"/>
    </row>
    <row r="241">
      <c r="A241" s="3" t="inlineStr">
        <is>
          <t>IncomingTrainPreparation</t>
        </is>
      </c>
      <c r="B241" s="3" t="inlineStr">
        <is>
          <t>Act_ITP_12002_050221_727</t>
        </is>
      </c>
      <c r="C241" s="3" t="inlineStr">
        <is>
          <t>12002</t>
        </is>
      </c>
      <c r="D241" s="9" t="n">
        <v>208</v>
      </c>
      <c r="E241" s="3" t="n"/>
      <c r="F241" s="3" t="n"/>
      <c r="G241" s="9" t="n"/>
      <c r="H241" s="10" t="n">
        <v>45663.20996527778</v>
      </c>
      <c r="I241" s="10" t="n">
        <v>45663.21274305556</v>
      </c>
      <c r="J241" s="10" t="n">
        <v>45663.21603009259</v>
      </c>
      <c r="K241" s="11" t="n">
        <v>0.003287037037037037</v>
      </c>
      <c r="L241" s="13" t="n">
        <v>2</v>
      </c>
    </row>
    <row r="242">
      <c r="A242" s="3" t="inlineStr">
        <is>
          <t>IncomingTrainPreparation</t>
        </is>
      </c>
      <c r="B242" s="3" t="inlineStr">
        <is>
          <t>Act_ITP_12001_050302_703</t>
        </is>
      </c>
      <c r="C242" s="3" t="inlineStr">
        <is>
          <t>12001</t>
        </is>
      </c>
      <c r="D242" s="9" t="n">
        <v>224</v>
      </c>
      <c r="E242" s="3" t="n"/>
      <c r="F242" s="3" t="n"/>
      <c r="G242" s="9" t="n"/>
      <c r="H242" s="10" t="n">
        <v>45663.21043981481</v>
      </c>
      <c r="I242" s="10" t="n">
        <v>45663.21321759259</v>
      </c>
      <c r="J242" s="10" t="n">
        <v>45663.2171875</v>
      </c>
      <c r="K242" s="11" t="n">
        <v>0.003969907407407407</v>
      </c>
      <c r="L242" s="13" t="n">
        <v>2</v>
      </c>
    </row>
    <row r="243">
      <c r="A243" s="3" t="inlineStr">
        <is>
          <t>IncomingTrainPreparation</t>
        </is>
      </c>
      <c r="B243" s="3" t="inlineStr">
        <is>
          <t>Act_ITP_12003_073249_703</t>
        </is>
      </c>
      <c r="C243" s="3" t="inlineStr">
        <is>
          <t>12003</t>
        </is>
      </c>
      <c r="D243" s="9" t="n">
        <v>160</v>
      </c>
      <c r="E243" s="3" t="n"/>
      <c r="F243" s="3" t="n"/>
      <c r="G243" s="9" t="n"/>
      <c r="H243" s="10" t="n">
        <v>45663.31445601852</v>
      </c>
      <c r="I243" s="10" t="n">
        <v>45663.3172337963</v>
      </c>
      <c r="J243" s="10" t="n">
        <v>45663.31978009259</v>
      </c>
      <c r="K243" s="11" t="n">
        <v>0.002546296296296297</v>
      </c>
      <c r="L243" s="13" t="n">
        <v>0</v>
      </c>
    </row>
    <row r="244">
      <c r="A244" s="3" t="inlineStr">
        <is>
          <t>IncomingTrainPreparation</t>
        </is>
      </c>
      <c r="B244" s="3" t="inlineStr">
        <is>
          <t>Act_ITP_12004_111737_703</t>
        </is>
      </c>
      <c r="C244" s="3" t="inlineStr">
        <is>
          <t>12004</t>
        </is>
      </c>
      <c r="D244" s="9" t="n">
        <v>96</v>
      </c>
      <c r="E244" s="3" t="n"/>
      <c r="F244" s="3" t="n"/>
      <c r="G244" s="9" t="n"/>
      <c r="H244" s="10" t="n">
        <v>45663.47056712963</v>
      </c>
      <c r="I244" s="10" t="n">
        <v>45663.4733449074</v>
      </c>
      <c r="J244" s="10" t="n">
        <v>45663.47518518518</v>
      </c>
      <c r="K244" s="11" t="n">
        <v>0.001840277777777778</v>
      </c>
      <c r="L244" s="13" t="n">
        <v>0</v>
      </c>
    </row>
    <row r="245">
      <c r="A245" s="3" t="inlineStr">
        <is>
          <t>IncomingTrainPreparation</t>
        </is>
      </c>
      <c r="B245" s="3" t="inlineStr">
        <is>
          <t>Act_ITP_12005_144753_703</t>
        </is>
      </c>
      <c r="C245" s="3" t="inlineStr">
        <is>
          <t>12005</t>
        </is>
      </c>
      <c r="D245" s="9" t="n">
        <v>176</v>
      </c>
      <c r="E245" s="3" t="n"/>
      <c r="F245" s="3" t="n"/>
      <c r="G245" s="9" t="n"/>
      <c r="H245" s="10" t="n">
        <v>45663.61658564815</v>
      </c>
      <c r="I245" s="10" t="n">
        <v>45663.61936342593</v>
      </c>
      <c r="J245" s="10" t="n">
        <v>45663.62318287037</v>
      </c>
      <c r="K245" s="11" t="n">
        <v>0.003819444444444444</v>
      </c>
      <c r="L245" s="13" t="n">
        <v>2</v>
      </c>
    </row>
    <row r="246">
      <c r="A246" s="3" t="inlineStr">
        <is>
          <t>IncomingTrainPreparation</t>
        </is>
      </c>
      <c r="B246" s="3" t="inlineStr">
        <is>
          <t>Act_ITP_12006_060249_703</t>
        </is>
      </c>
      <c r="C246" s="3" t="inlineStr">
        <is>
          <t>12006</t>
        </is>
      </c>
      <c r="D246" s="9" t="n">
        <v>160</v>
      </c>
      <c r="E246" s="3" t="n"/>
      <c r="F246" s="3" t="n"/>
      <c r="G246" s="9" t="n"/>
      <c r="H246" s="10" t="n">
        <v>45664.25195601852</v>
      </c>
      <c r="I246" s="10" t="n">
        <v>45664.2547337963</v>
      </c>
      <c r="J246" s="10" t="n">
        <v>45664.25710648148</v>
      </c>
      <c r="K246" s="11" t="n">
        <v>0.002372685185185185</v>
      </c>
      <c r="L246" s="13" t="n">
        <v>1</v>
      </c>
    </row>
    <row r="247">
      <c r="A247" s="3" t="inlineStr">
        <is>
          <t>IncomingTrainPreparation</t>
        </is>
      </c>
      <c r="B247" s="3" t="inlineStr">
        <is>
          <t>Act_ITP_12007_061705_727</t>
        </is>
      </c>
      <c r="C247" s="3" t="inlineStr">
        <is>
          <t>12007</t>
        </is>
      </c>
      <c r="D247" s="9" t="n">
        <v>128</v>
      </c>
      <c r="E247" s="3" t="n"/>
      <c r="F247" s="3" t="n"/>
      <c r="G247" s="9" t="n"/>
      <c r="H247" s="10" t="n">
        <v>45664.26186342593</v>
      </c>
      <c r="I247" s="10" t="n">
        <v>45664.26464120371</v>
      </c>
      <c r="J247" s="10" t="n">
        <v>45664.26674768519</v>
      </c>
      <c r="K247" s="11" t="n">
        <v>0.002106481481481481</v>
      </c>
      <c r="L247" s="13" t="n">
        <v>0</v>
      </c>
    </row>
    <row r="248">
      <c r="A248" s="3" t="inlineStr">
        <is>
          <t>IncomingTrainPreparation</t>
        </is>
      </c>
      <c r="B248" s="3" t="inlineStr">
        <is>
          <t>Act_ITP_12008_062502_703</t>
        </is>
      </c>
      <c r="C248" s="3" t="inlineStr">
        <is>
          <t>12008</t>
        </is>
      </c>
      <c r="D248" s="9" t="n">
        <v>224</v>
      </c>
      <c r="E248" s="3" t="n"/>
      <c r="F248" s="3" t="n"/>
      <c r="G248" s="9" t="n"/>
      <c r="H248" s="10" t="n">
        <v>45664.26738425926</v>
      </c>
      <c r="I248" s="10" t="n">
        <v>45664.27016203704</v>
      </c>
      <c r="J248" s="10" t="n">
        <v>45664.27356481482</v>
      </c>
      <c r="K248" s="11" t="n">
        <v>0.003402777777777778</v>
      </c>
      <c r="L248" s="13" t="n">
        <v>2</v>
      </c>
    </row>
    <row r="249">
      <c r="A249" s="3" t="inlineStr">
        <is>
          <t>IncomingTrainPreparation</t>
        </is>
      </c>
      <c r="B249" s="3" t="inlineStr">
        <is>
          <t>Act_ITP_12009_063905_727</t>
        </is>
      </c>
      <c r="C249" s="3" t="inlineStr">
        <is>
          <t>12009</t>
        </is>
      </c>
      <c r="D249" s="9" t="n">
        <v>128</v>
      </c>
      <c r="E249" s="3" t="n"/>
      <c r="F249" s="3" t="n"/>
      <c r="G249" s="9" t="n"/>
      <c r="H249" s="10" t="n">
        <v>45664.2771412037</v>
      </c>
      <c r="I249" s="10" t="n">
        <v>45664.27991898148</v>
      </c>
      <c r="J249" s="10" t="n">
        <v>45664.28263888889</v>
      </c>
      <c r="K249" s="11" t="n">
        <v>0.002719907407407407</v>
      </c>
      <c r="L249" s="13" t="n">
        <v>2</v>
      </c>
    </row>
    <row r="250">
      <c r="A250" s="3" t="inlineStr">
        <is>
          <t>IncomingTrainPreparation</t>
        </is>
      </c>
      <c r="B250" s="3" t="inlineStr">
        <is>
          <t>Act_ITP_12010_065237_703</t>
        </is>
      </c>
      <c r="C250" s="3" t="inlineStr">
        <is>
          <t>12010</t>
        </is>
      </c>
      <c r="D250" s="9" t="n">
        <v>96</v>
      </c>
      <c r="E250" s="3" t="n"/>
      <c r="F250" s="3" t="n"/>
      <c r="G250" s="9" t="n"/>
      <c r="H250" s="10" t="n">
        <v>45664.28653935185</v>
      </c>
      <c r="I250" s="10" t="n">
        <v>45664.28931712963</v>
      </c>
      <c r="J250" s="10" t="n">
        <v>45664.29090277778</v>
      </c>
      <c r="K250" s="11" t="n">
        <v>0.001585648148148148</v>
      </c>
      <c r="L250" s="13" t="n">
        <v>0</v>
      </c>
    </row>
    <row r="251">
      <c r="A251" s="3" t="inlineStr">
        <is>
          <t>IncomingTrainPreparation</t>
        </is>
      </c>
      <c r="B251" s="3" t="inlineStr">
        <is>
          <t>Act_ITP_12011_070318_727</t>
        </is>
      </c>
      <c r="C251" s="3" t="inlineStr">
        <is>
          <t>12011</t>
        </is>
      </c>
      <c r="D251" s="9" t="n">
        <v>192</v>
      </c>
      <c r="E251" s="3" t="n"/>
      <c r="F251" s="3" t="n"/>
      <c r="G251" s="9" t="n"/>
      <c r="H251" s="10" t="n">
        <v>45664.29395833334</v>
      </c>
      <c r="I251" s="10" t="n">
        <v>45664.29673611111</v>
      </c>
      <c r="J251" s="10" t="n">
        <v>45664.29900462963</v>
      </c>
      <c r="K251" s="11" t="n">
        <v>0.002268518518518519</v>
      </c>
      <c r="L251" s="13" t="n">
        <v>1</v>
      </c>
    </row>
    <row r="252">
      <c r="A252" s="3" t="inlineStr">
        <is>
          <t>IncomingTrainPreparation</t>
        </is>
      </c>
      <c r="B252" s="3" t="inlineStr">
        <is>
          <t>Act_ITP_12012_130243_703</t>
        </is>
      </c>
      <c r="C252" s="3" t="inlineStr">
        <is>
          <t>12012</t>
        </is>
      </c>
      <c r="D252" s="9" t="n">
        <v>128</v>
      </c>
      <c r="E252" s="3" t="n"/>
      <c r="F252" s="3" t="n"/>
      <c r="G252" s="9" t="n"/>
      <c r="H252" s="10" t="n">
        <v>45664.54355324074</v>
      </c>
      <c r="I252" s="10" t="n">
        <v>45664.54633101852</v>
      </c>
      <c r="J252" s="10" t="n">
        <v>45664.54831018519</v>
      </c>
      <c r="K252" s="11" t="n">
        <v>0.001979166666666667</v>
      </c>
      <c r="L252" s="13" t="n">
        <v>0</v>
      </c>
    </row>
    <row r="253">
      <c r="A253" s="3" t="inlineStr">
        <is>
          <t>IncomingTrainPreparation</t>
        </is>
      </c>
      <c r="B253" s="3" t="inlineStr">
        <is>
          <t>Act_ITP_12013_163233_703</t>
        </is>
      </c>
      <c r="C253" s="3" t="inlineStr">
        <is>
          <t>12013</t>
        </is>
      </c>
      <c r="D253" s="9" t="n">
        <v>80</v>
      </c>
      <c r="E253" s="3" t="n"/>
      <c r="F253" s="3" t="n"/>
      <c r="G253" s="9" t="n"/>
      <c r="H253" s="10" t="n">
        <v>45664.68927083333</v>
      </c>
      <c r="I253" s="10" t="n">
        <v>45664.69204861111</v>
      </c>
      <c r="J253" s="10" t="n">
        <v>45664.69373842593</v>
      </c>
      <c r="K253" s="11" t="n">
        <v>0.001689814814814815</v>
      </c>
      <c r="L253" s="13" t="n">
        <v>0</v>
      </c>
    </row>
    <row r="254">
      <c r="A254" s="3" t="inlineStr">
        <is>
          <t>IncomingTrainPreparation</t>
        </is>
      </c>
      <c r="B254" s="3" t="inlineStr">
        <is>
          <t>Act_ITP_12014_200158_731</t>
        </is>
      </c>
      <c r="C254" s="3" t="inlineStr">
        <is>
          <t>12014</t>
        </is>
      </c>
      <c r="D254" s="9" t="n">
        <v>64</v>
      </c>
      <c r="E254" s="3" t="n"/>
      <c r="F254" s="3" t="n"/>
      <c r="G254" s="9" t="n"/>
      <c r="H254" s="10" t="n">
        <v>45664.83469907408</v>
      </c>
      <c r="I254" s="10" t="n">
        <v>45664.83747685186</v>
      </c>
      <c r="J254" s="10" t="n">
        <v>45664.83896990741</v>
      </c>
      <c r="K254" s="11" t="n">
        <v>0.001493055555555556</v>
      </c>
      <c r="L254" s="13" t="n">
        <v>1</v>
      </c>
    </row>
    <row r="255">
      <c r="A255" s="3" t="inlineStr">
        <is>
          <t>IncomingTrainPreparation</t>
        </is>
      </c>
      <c r="B255" s="3" t="inlineStr">
        <is>
          <t>Act_ITP_12017_053158_731</t>
        </is>
      </c>
      <c r="C255" s="3" t="inlineStr">
        <is>
          <t>12017</t>
        </is>
      </c>
      <c r="D255" s="9" t="n">
        <v>64</v>
      </c>
      <c r="E255" s="3" t="n"/>
      <c r="F255" s="3" t="n"/>
      <c r="G255" s="9" t="n"/>
      <c r="H255" s="10" t="n">
        <v>45665.2305324074</v>
      </c>
      <c r="I255" s="10" t="n">
        <v>45665.23331018518</v>
      </c>
      <c r="J255" s="10" t="n">
        <v>45665.23486111111</v>
      </c>
      <c r="K255" s="11" t="n">
        <v>0.001550925925925926</v>
      </c>
      <c r="L255" s="13" t="n">
        <v>1</v>
      </c>
    </row>
    <row r="256">
      <c r="A256" s="3" t="inlineStr">
        <is>
          <t>IncomingTrainPreparation</t>
        </is>
      </c>
      <c r="B256" s="3" t="inlineStr">
        <is>
          <t>Act_ITP_12016_053159_727</t>
        </is>
      </c>
      <c r="C256" s="3" t="inlineStr">
        <is>
          <t>12016</t>
        </is>
      </c>
      <c r="D256" s="9" t="n">
        <v>96</v>
      </c>
      <c r="E256" s="3" t="n"/>
      <c r="F256" s="3" t="n"/>
      <c r="G256" s="9" t="n"/>
      <c r="H256" s="10" t="n">
        <v>45665.23054398148</v>
      </c>
      <c r="I256" s="10" t="n">
        <v>45665.23332175926</v>
      </c>
      <c r="J256" s="10" t="n">
        <v>45665.23505787037</v>
      </c>
      <c r="K256" s="11" t="n">
        <v>0.001736111111111111</v>
      </c>
      <c r="L256" s="13" t="n">
        <v>0</v>
      </c>
    </row>
    <row r="257">
      <c r="A257" s="3" t="inlineStr">
        <is>
          <t>IncomingTrainPreparation</t>
        </is>
      </c>
      <c r="B257" s="3" t="inlineStr">
        <is>
          <t>Act_ITP_12015_053256_703</t>
        </is>
      </c>
      <c r="C257" s="3" t="inlineStr">
        <is>
          <t>12015</t>
        </is>
      </c>
      <c r="D257" s="9" t="n">
        <v>192</v>
      </c>
      <c r="E257" s="3" t="n"/>
      <c r="F257" s="3" t="n"/>
      <c r="G257" s="9" t="n"/>
      <c r="H257" s="10" t="n">
        <v>45665.2312037037</v>
      </c>
      <c r="I257" s="10" t="n">
        <v>45665.23398148148</v>
      </c>
      <c r="J257" s="10" t="n">
        <v>45665.23767361111</v>
      </c>
      <c r="K257" s="11" t="n">
        <v>0.00369212962962963</v>
      </c>
      <c r="L257" s="13" t="n">
        <v>2</v>
      </c>
    </row>
    <row r="258">
      <c r="A258" s="3" t="inlineStr">
        <is>
          <t>IncomingTrainPreparation</t>
        </is>
      </c>
      <c r="B258" s="3" t="inlineStr">
        <is>
          <t>Act_ITP_12018_090253_703</t>
        </is>
      </c>
      <c r="C258" s="3" t="inlineStr">
        <is>
          <t>12018</t>
        </is>
      </c>
      <c r="D258" s="9" t="n">
        <v>176</v>
      </c>
      <c r="E258" s="3" t="n"/>
      <c r="F258" s="3" t="n"/>
      <c r="G258" s="9" t="n"/>
      <c r="H258" s="10" t="n">
        <v>45665.37700231482</v>
      </c>
      <c r="I258" s="10" t="n">
        <v>45665.37978009259</v>
      </c>
      <c r="J258" s="10" t="n">
        <v>45665.38222222222</v>
      </c>
      <c r="K258" s="11" t="n">
        <v>0.00244212962962963</v>
      </c>
      <c r="L258" s="13" t="n">
        <v>1</v>
      </c>
    </row>
    <row r="259">
      <c r="A259" s="3" t="inlineStr">
        <is>
          <t>IncomingTrainPreparation</t>
        </is>
      </c>
      <c r="B259" s="3" t="inlineStr">
        <is>
          <t>Act_ITP_12019_091008_727</t>
        </is>
      </c>
      <c r="C259" s="3" t="inlineStr">
        <is>
          <t>12019</t>
        </is>
      </c>
      <c r="D259" s="9" t="n">
        <v>144</v>
      </c>
      <c r="E259" s="3" t="n"/>
      <c r="F259" s="3" t="n"/>
      <c r="G259" s="9" t="n"/>
      <c r="H259" s="10" t="n">
        <v>45665.38203703704</v>
      </c>
      <c r="I259" s="10" t="n">
        <v>45665.38481481482</v>
      </c>
      <c r="J259" s="10" t="n">
        <v>45665.38704861111</v>
      </c>
      <c r="K259" s="11" t="n">
        <v>0.002233796296296296</v>
      </c>
      <c r="L259" s="13" t="n">
        <v>0</v>
      </c>
    </row>
    <row r="260">
      <c r="A260" s="3" t="inlineStr">
        <is>
          <t>IncomingTrainPreparation</t>
        </is>
      </c>
      <c r="B260" s="3" t="inlineStr">
        <is>
          <t>Act_ITP_12020_093356_703</t>
        </is>
      </c>
      <c r="C260" s="3" t="inlineStr">
        <is>
          <t>12020</t>
        </is>
      </c>
      <c r="D260" s="9" t="n">
        <v>192</v>
      </c>
      <c r="E260" s="3" t="n"/>
      <c r="F260" s="3" t="n"/>
      <c r="G260" s="9" t="n"/>
      <c r="H260" s="10" t="n">
        <v>45665.39856481482</v>
      </c>
      <c r="I260" s="10" t="n">
        <v>45665.4013425926</v>
      </c>
      <c r="J260" s="10" t="n">
        <v>45665.40375</v>
      </c>
      <c r="K260" s="11" t="n">
        <v>0.002407407407407408</v>
      </c>
      <c r="L260" s="13" t="n">
        <v>1</v>
      </c>
    </row>
    <row r="261">
      <c r="A261" s="3" t="inlineStr">
        <is>
          <t>IncomingTrainPreparation</t>
        </is>
      </c>
      <c r="B261" s="3" t="inlineStr">
        <is>
          <t>Act_ITP_12021_094212_727</t>
        </is>
      </c>
      <c r="C261" s="3" t="inlineStr">
        <is>
          <t>12021</t>
        </is>
      </c>
      <c r="D261" s="9" t="n">
        <v>160</v>
      </c>
      <c r="E261" s="3" t="n"/>
      <c r="F261" s="3" t="n"/>
      <c r="G261" s="9" t="n"/>
      <c r="H261" s="10" t="n">
        <v>45665.40430555555</v>
      </c>
      <c r="I261" s="10" t="n">
        <v>45665.40708333333</v>
      </c>
      <c r="J261" s="10" t="n">
        <v>45665.40930555556</v>
      </c>
      <c r="K261" s="11" t="n">
        <v>0.002222222222222222</v>
      </c>
      <c r="L261" s="13" t="n">
        <v>0</v>
      </c>
    </row>
    <row r="262">
      <c r="A262" s="3" t="inlineStr">
        <is>
          <t>IncomingTrainPreparation</t>
        </is>
      </c>
      <c r="B262" s="3" t="inlineStr">
        <is>
          <t>Act_ITP_12022_100809_703</t>
        </is>
      </c>
      <c r="C262" s="3" t="inlineStr">
        <is>
          <t>12022</t>
        </is>
      </c>
      <c r="D262" s="9" t="n">
        <v>256</v>
      </c>
      <c r="E262" s="3" t="n"/>
      <c r="F262" s="3" t="n"/>
      <c r="G262" s="9" t="n"/>
      <c r="H262" s="10" t="n">
        <v>45665.42232638889</v>
      </c>
      <c r="I262" s="10" t="n">
        <v>45665.42510416666</v>
      </c>
      <c r="J262" s="10" t="n">
        <v>45665.42826388889</v>
      </c>
      <c r="K262" s="11" t="n">
        <v>0.003159722222222222</v>
      </c>
      <c r="L262" s="13" t="n">
        <v>1</v>
      </c>
    </row>
    <row r="263">
      <c r="A263" s="3" t="inlineStr">
        <is>
          <t>IncomingTrainPreparation</t>
        </is>
      </c>
      <c r="B263" s="3" t="inlineStr">
        <is>
          <t>Act_ITP_12023_141749_703</t>
        </is>
      </c>
      <c r="C263" s="3" t="inlineStr">
        <is>
          <t>12023</t>
        </is>
      </c>
      <c r="D263" s="9" t="n">
        <v>160</v>
      </c>
      <c r="E263" s="3" t="n"/>
      <c r="F263" s="3" t="n"/>
      <c r="G263" s="9" t="n"/>
      <c r="H263" s="10" t="n">
        <v>45665.59570601852</v>
      </c>
      <c r="I263" s="10" t="n">
        <v>45665.5984837963</v>
      </c>
      <c r="J263" s="10" t="n">
        <v>45665.60101851852</v>
      </c>
      <c r="K263" s="11" t="n">
        <v>0.002534722222222222</v>
      </c>
      <c r="L263" s="13" t="n">
        <v>1</v>
      </c>
    </row>
    <row r="264">
      <c r="A264" s="3" t="inlineStr">
        <is>
          <t>IncomingTrainPreparation</t>
        </is>
      </c>
      <c r="B264" s="3" t="inlineStr">
        <is>
          <t>Act_ITP_12024_180240_703</t>
        </is>
      </c>
      <c r="C264" s="3" t="inlineStr">
        <is>
          <t>12024</t>
        </is>
      </c>
      <c r="D264" s="9" t="n">
        <v>112</v>
      </c>
      <c r="E264" s="3" t="n"/>
      <c r="F264" s="3" t="n"/>
      <c r="G264" s="9" t="n"/>
      <c r="H264" s="10" t="n">
        <v>45665.75185185186</v>
      </c>
      <c r="I264" s="10" t="n">
        <v>45665.75462962963</v>
      </c>
      <c r="J264" s="10" t="n">
        <v>45665.75649305555</v>
      </c>
      <c r="K264" s="11" t="n">
        <v>0.001863425925925926</v>
      </c>
      <c r="L264" s="13" t="n">
        <v>0</v>
      </c>
    </row>
    <row r="265">
      <c r="A265" s="3" t="inlineStr">
        <is>
          <t>IncomingTrainPreparation</t>
        </is>
      </c>
      <c r="B265" s="3" t="inlineStr">
        <is>
          <t>Act_ITP_12025_213309_703</t>
        </is>
      </c>
      <c r="C265" s="3" t="inlineStr">
        <is>
          <t>12025</t>
        </is>
      </c>
      <c r="D265" s="9" t="n">
        <v>256</v>
      </c>
      <c r="E265" s="3" t="n"/>
      <c r="F265" s="3" t="n"/>
      <c r="G265" s="9" t="n"/>
      <c r="H265" s="10" t="n">
        <v>45665.89802083333</v>
      </c>
      <c r="I265" s="10" t="n">
        <v>45665.90079861111</v>
      </c>
      <c r="J265" s="10" t="n">
        <v>45665.90416666667</v>
      </c>
      <c r="K265" s="11" t="n">
        <v>0.003368055555555556</v>
      </c>
      <c r="L265" s="13" t="n">
        <v>0</v>
      </c>
    </row>
    <row r="266">
      <c r="A266" s="3" t="inlineStr">
        <is>
          <t>IncomingTrainPreparation</t>
        </is>
      </c>
      <c r="B266" s="3" t="inlineStr">
        <is>
          <t>Act_ITP_12026_050243_703</t>
        </is>
      </c>
      <c r="C266" s="3" t="inlineStr">
        <is>
          <t>12026</t>
        </is>
      </c>
      <c r="D266" s="9" t="n">
        <v>128</v>
      </c>
      <c r="E266" s="3" t="n"/>
      <c r="F266" s="3" t="n"/>
      <c r="G266" s="9" t="n"/>
      <c r="H266" s="10" t="n">
        <v>45666.21021990741</v>
      </c>
      <c r="I266" s="10" t="n">
        <v>45666.21299768519</v>
      </c>
      <c r="J266" s="10" t="n">
        <v>45666.21497685185</v>
      </c>
      <c r="K266" s="11" t="n">
        <v>0.001979166666666667</v>
      </c>
      <c r="L266" s="13" t="n">
        <v>1</v>
      </c>
    </row>
    <row r="267">
      <c r="A267" s="3" t="inlineStr">
        <is>
          <t>IncomingTrainPreparation</t>
        </is>
      </c>
      <c r="B267" s="3" t="inlineStr">
        <is>
          <t>Act_ITP_12027_051115_727</t>
        </is>
      </c>
      <c r="C267" s="3" t="inlineStr">
        <is>
          <t>12027</t>
        </is>
      </c>
      <c r="D267" s="9" t="n">
        <v>176</v>
      </c>
      <c r="E267" s="3" t="n"/>
      <c r="F267" s="3" t="n"/>
      <c r="G267" s="9" t="n"/>
      <c r="H267" s="10" t="n">
        <v>45666.21614583334</v>
      </c>
      <c r="I267" s="10" t="n">
        <v>45666.21892361111</v>
      </c>
      <c r="J267" s="10" t="n">
        <v>45666.22127314815</v>
      </c>
      <c r="K267" s="11" t="n">
        <v>0.002349537037037037</v>
      </c>
      <c r="L267" s="13" t="n">
        <v>0</v>
      </c>
    </row>
    <row r="268">
      <c r="A268" s="3" t="inlineStr">
        <is>
          <t>IncomingTrainPreparation</t>
        </is>
      </c>
      <c r="B268" s="3" t="inlineStr">
        <is>
          <t>Act_ITP_12028_052153_703</t>
        </is>
      </c>
      <c r="C268" s="3" t="inlineStr">
        <is>
          <t>12028</t>
        </is>
      </c>
      <c r="D268" s="9" t="n">
        <v>176</v>
      </c>
      <c r="E268" s="3" t="n"/>
      <c r="F268" s="3" t="n"/>
      <c r="G268" s="9" t="n"/>
      <c r="H268" s="10" t="n">
        <v>45666.22353009259</v>
      </c>
      <c r="I268" s="10" t="n">
        <v>45666.22630787037</v>
      </c>
      <c r="J268" s="10" t="n">
        <v>45666.2306712963</v>
      </c>
      <c r="K268" s="11" t="n">
        <v>0.004363425925925926</v>
      </c>
      <c r="L268" s="13" t="n">
        <v>3</v>
      </c>
    </row>
    <row r="269">
      <c r="A269" s="3" t="inlineStr">
        <is>
          <t>IncomingTrainPreparation</t>
        </is>
      </c>
      <c r="B269" s="3" t="inlineStr">
        <is>
          <t>Act_ITP_12029_053021_727</t>
        </is>
      </c>
      <c r="C269" s="3" t="inlineStr">
        <is>
          <t>12029</t>
        </is>
      </c>
      <c r="D269" s="9" t="n">
        <v>208</v>
      </c>
      <c r="E269" s="3" t="n"/>
      <c r="F269" s="3" t="n"/>
      <c r="G269" s="9" t="n"/>
      <c r="H269" s="10" t="n">
        <v>45666.22940972223</v>
      </c>
      <c r="I269" s="10" t="n">
        <v>45666.2321875</v>
      </c>
      <c r="J269" s="10" t="n">
        <v>45666.23513888889</v>
      </c>
      <c r="K269" s="11" t="n">
        <v>0.002951388888888889</v>
      </c>
      <c r="L269" s="13" t="n">
        <v>0</v>
      </c>
    </row>
    <row r="270">
      <c r="A270" s="3" t="inlineStr">
        <is>
          <t>IncomingTrainPreparation</t>
        </is>
      </c>
      <c r="B270" s="3" t="inlineStr">
        <is>
          <t>Act_ITP_12030_053454_725</t>
        </is>
      </c>
      <c r="C270" s="3" t="inlineStr">
        <is>
          <t>12030</t>
        </is>
      </c>
      <c r="D270" s="9" t="n">
        <v>144</v>
      </c>
      <c r="E270" s="3" t="n"/>
      <c r="F270" s="3" t="n"/>
      <c r="G270" s="9" t="n"/>
      <c r="H270" s="10" t="n">
        <v>45666.23256944444</v>
      </c>
      <c r="I270" s="10" t="n">
        <v>45666.23534722222</v>
      </c>
      <c r="J270" s="10" t="n">
        <v>45666.2374537037</v>
      </c>
      <c r="K270" s="11" t="n">
        <v>0.002106481481481481</v>
      </c>
      <c r="L270" s="13" t="n">
        <v>0</v>
      </c>
    </row>
    <row r="271">
      <c r="A271" s="3" t="inlineStr">
        <is>
          <t>IncomingTrainPreparation</t>
        </is>
      </c>
      <c r="B271" s="3" t="inlineStr">
        <is>
          <t>Act_ITP_12031_053937_723</t>
        </is>
      </c>
      <c r="C271" s="3" t="inlineStr">
        <is>
          <t>12031</t>
        </is>
      </c>
      <c r="D271" s="9" t="n">
        <v>96</v>
      </c>
      <c r="E271" s="3" t="n"/>
      <c r="F271" s="3" t="n"/>
      <c r="G271" s="9" t="n"/>
      <c r="H271" s="10" t="n">
        <v>45666.23584490741</v>
      </c>
      <c r="I271" s="10" t="n">
        <v>45666.23878472222</v>
      </c>
      <c r="J271" s="10" t="n">
        <v>45666.24077546296</v>
      </c>
      <c r="K271" s="11" t="n">
        <v>0.001990740740740741</v>
      </c>
      <c r="L271" s="13" t="n">
        <v>0</v>
      </c>
    </row>
    <row r="272">
      <c r="A272" s="3" t="inlineStr">
        <is>
          <t>IncomingTrainPreparation</t>
        </is>
      </c>
      <c r="B272" s="3" t="inlineStr">
        <is>
          <t>Act_ITP_12032_054749_703</t>
        </is>
      </c>
      <c r="C272" s="3" t="inlineStr">
        <is>
          <t>12032</t>
        </is>
      </c>
      <c r="D272" s="9" t="n">
        <v>160</v>
      </c>
      <c r="E272" s="3" t="n"/>
      <c r="F272" s="3" t="n"/>
      <c r="G272" s="9" t="n"/>
      <c r="H272" s="10" t="n">
        <v>45666.24153935185</v>
      </c>
      <c r="I272" s="10" t="n">
        <v>45666.24431712963</v>
      </c>
      <c r="J272" s="10" t="n">
        <v>45666.24655092593</v>
      </c>
      <c r="K272" s="11" t="n">
        <v>0.002233796296296296</v>
      </c>
      <c r="L272" s="13" t="n">
        <v>0</v>
      </c>
    </row>
    <row r="273">
      <c r="A273" s="3" t="inlineStr">
        <is>
          <t>IncomingTrainPreparation</t>
        </is>
      </c>
      <c r="B273" s="3" t="inlineStr">
        <is>
          <t>Act_ITP_12033_055415_727</t>
        </is>
      </c>
      <c r="C273" s="3" t="inlineStr">
        <is>
          <t>12033</t>
        </is>
      </c>
      <c r="D273" s="9" t="n">
        <v>176</v>
      </c>
      <c r="E273" s="3" t="n"/>
      <c r="F273" s="3" t="n"/>
      <c r="G273" s="9" t="n"/>
      <c r="H273" s="10" t="n">
        <v>45666.24600694444</v>
      </c>
      <c r="I273" s="10" t="n">
        <v>45666.24878472222</v>
      </c>
      <c r="J273" s="10" t="n">
        <v>45666.25203703704</v>
      </c>
      <c r="K273" s="11" t="n">
        <v>0.003252314814814815</v>
      </c>
      <c r="L273" s="13" t="n">
        <v>2</v>
      </c>
    </row>
    <row r="274">
      <c r="A274" s="3" t="inlineStr">
        <is>
          <t>IncomingTrainPreparation</t>
        </is>
      </c>
      <c r="B274" s="3" t="inlineStr">
        <is>
          <t>Act_ITP_12034_110215_727</t>
        </is>
      </c>
      <c r="C274" s="3" t="inlineStr">
        <is>
          <t>12034</t>
        </is>
      </c>
      <c r="D274" s="9" t="n">
        <v>176</v>
      </c>
      <c r="E274" s="3" t="n"/>
      <c r="F274" s="3" t="n"/>
      <c r="G274" s="9" t="n"/>
      <c r="H274" s="10" t="n">
        <v>45666.45989583333</v>
      </c>
      <c r="I274" s="10" t="n">
        <v>45666.46267361111</v>
      </c>
      <c r="J274" s="10" t="n">
        <v>45666.4649537037</v>
      </c>
      <c r="K274" s="11" t="n">
        <v>0.002280092592592593</v>
      </c>
      <c r="L274" s="13" t="n">
        <v>1</v>
      </c>
    </row>
    <row r="275">
      <c r="A275" s="3" t="inlineStr">
        <is>
          <t>IncomingTrainPreparation</t>
        </is>
      </c>
      <c r="B275" s="3" t="inlineStr">
        <is>
          <t>Act_ITP_12035_110256_703</t>
        </is>
      </c>
      <c r="C275" s="3" t="inlineStr">
        <is>
          <t>12035</t>
        </is>
      </c>
      <c r="D275" s="9" t="n">
        <v>192</v>
      </c>
      <c r="E275" s="3" t="n"/>
      <c r="F275" s="3" t="n"/>
      <c r="G275" s="9" t="n"/>
      <c r="H275" s="10" t="n">
        <v>45666.46037037037</v>
      </c>
      <c r="I275" s="10" t="n">
        <v>45666.46314814815</v>
      </c>
      <c r="J275" s="10" t="n">
        <v>45666.46685185185</v>
      </c>
      <c r="K275" s="11" t="n">
        <v>0.003703703703703704</v>
      </c>
      <c r="L275" s="13" t="n">
        <v>2</v>
      </c>
    </row>
    <row r="276">
      <c r="A276" s="3" t="inlineStr">
        <is>
          <t>IncomingTrainPreparation</t>
        </is>
      </c>
      <c r="B276" s="3" t="inlineStr">
        <is>
          <t>Act_ITP_12036_130315_703</t>
        </is>
      </c>
      <c r="C276" s="3" t="inlineStr">
        <is>
          <t>12036</t>
        </is>
      </c>
      <c r="D276" s="9" t="n">
        <v>288</v>
      </c>
      <c r="E276" s="3" t="n"/>
      <c r="F276" s="3" t="n"/>
      <c r="G276" s="9" t="n"/>
      <c r="H276" s="10" t="n">
        <v>45666.54392361111</v>
      </c>
      <c r="I276" s="10" t="n">
        <v>45666.54670138889</v>
      </c>
      <c r="J276" s="10" t="n">
        <v>45666.55034722222</v>
      </c>
      <c r="K276" s="11" t="n">
        <v>0.003645833333333333</v>
      </c>
      <c r="L276" s="13" t="n">
        <v>1</v>
      </c>
    </row>
    <row r="277">
      <c r="A277" s="3" t="inlineStr">
        <is>
          <t>IncomingTrainPreparation</t>
        </is>
      </c>
      <c r="B277" s="3" t="inlineStr">
        <is>
          <t>Act_ITP_12037_130915_727</t>
        </is>
      </c>
      <c r="C277" s="3" t="inlineStr">
        <is>
          <t>12037</t>
        </is>
      </c>
      <c r="D277" s="9" t="n">
        <v>176</v>
      </c>
      <c r="E277" s="3" t="n"/>
      <c r="F277" s="3" t="n"/>
      <c r="G277" s="9" t="n"/>
      <c r="H277" s="10" t="n">
        <v>45666.54809027778</v>
      </c>
      <c r="I277" s="10" t="n">
        <v>45666.55086805556</v>
      </c>
      <c r="J277" s="10" t="n">
        <v>45666.55422453704</v>
      </c>
      <c r="K277" s="11" t="n">
        <v>0.003356481481481482</v>
      </c>
      <c r="L277" s="13" t="n">
        <v>2</v>
      </c>
    </row>
    <row r="278">
      <c r="A278" s="3" t="inlineStr">
        <is>
          <t>IncomingTrainPreparation</t>
        </is>
      </c>
      <c r="B278" s="3" t="inlineStr">
        <is>
          <t>Act_ITP_12038_132733_703</t>
        </is>
      </c>
      <c r="C278" s="3" t="inlineStr">
        <is>
          <t>12038</t>
        </is>
      </c>
      <c r="D278" s="9" t="n">
        <v>80</v>
      </c>
      <c r="E278" s="3" t="n"/>
      <c r="F278" s="3" t="n"/>
      <c r="G278" s="9" t="n"/>
      <c r="H278" s="10" t="n">
        <v>45666.56079861111</v>
      </c>
      <c r="I278" s="10" t="n">
        <v>45666.56357638889</v>
      </c>
      <c r="J278" s="10" t="n">
        <v>45666.56525462963</v>
      </c>
      <c r="K278" s="11" t="n">
        <v>0.001678240740740741</v>
      </c>
      <c r="L278" s="13" t="n">
        <v>1</v>
      </c>
    </row>
    <row r="279">
      <c r="A279" s="3" t="inlineStr">
        <is>
          <t>IncomingTrainPreparation</t>
        </is>
      </c>
      <c r="B279" s="3" t="inlineStr">
        <is>
          <t>Act_ITP_12039_134118_727</t>
        </is>
      </c>
      <c r="C279" s="3" t="inlineStr">
        <is>
          <t>12039</t>
        </is>
      </c>
      <c r="D279" s="9" t="n">
        <v>192</v>
      </c>
      <c r="E279" s="3" t="n"/>
      <c r="F279" s="3" t="n"/>
      <c r="G279" s="9" t="n"/>
      <c r="H279" s="10" t="n">
        <v>45666.57034722222</v>
      </c>
      <c r="I279" s="10" t="n">
        <v>45666.573125</v>
      </c>
      <c r="J279" s="10" t="n">
        <v>45666.57568287037</v>
      </c>
      <c r="K279" s="11" t="n">
        <v>0.002557870370370371</v>
      </c>
      <c r="L279" s="13" t="n">
        <v>1</v>
      </c>
    </row>
    <row r="280">
      <c r="A280" s="3" t="inlineStr">
        <is>
          <t>IncomingTrainPreparation</t>
        </is>
      </c>
      <c r="B280" s="3" t="inlineStr">
        <is>
          <t>Act_ITP_12040_135256_703</t>
        </is>
      </c>
      <c r="C280" s="3" t="inlineStr">
        <is>
          <t>12040</t>
        </is>
      </c>
      <c r="D280" s="9" t="n">
        <v>192</v>
      </c>
      <c r="E280" s="3" t="n"/>
      <c r="F280" s="3" t="n"/>
      <c r="G280" s="9" t="n"/>
      <c r="H280" s="10" t="n">
        <v>45666.57842592592</v>
      </c>
      <c r="I280" s="10" t="n">
        <v>45666.5812037037</v>
      </c>
      <c r="J280" s="10" t="n">
        <v>45666.58480324074</v>
      </c>
      <c r="K280" s="11" t="n">
        <v>0.003599537037037037</v>
      </c>
      <c r="L280" s="13" t="n">
        <v>2</v>
      </c>
    </row>
    <row r="281">
      <c r="A281" s="3" t="inlineStr">
        <is>
          <t>IncomingTrainPreparation</t>
        </is>
      </c>
      <c r="B281" s="3" t="inlineStr">
        <is>
          <t>Act_ITP_12041_190246_703</t>
        </is>
      </c>
      <c r="C281" s="3" t="inlineStr">
        <is>
          <t>12041</t>
        </is>
      </c>
      <c r="D281" s="9" t="n">
        <v>144</v>
      </c>
      <c r="E281" s="3" t="n"/>
      <c r="F281" s="3" t="n"/>
      <c r="G281" s="9" t="n"/>
      <c r="H281" s="10" t="n">
        <v>45666.79358796297</v>
      </c>
      <c r="I281" s="10" t="n">
        <v>45666.79636574074</v>
      </c>
      <c r="J281" s="10" t="n">
        <v>45666.79876157407</v>
      </c>
      <c r="K281" s="11" t="n">
        <v>0.002395833333333333</v>
      </c>
      <c r="L281" s="13" t="n">
        <v>0</v>
      </c>
    </row>
    <row r="282">
      <c r="A282" s="3" t="inlineStr">
        <is>
          <t>IncomingTrainPreparation</t>
        </is>
      </c>
      <c r="B282" s="3" t="inlineStr">
        <is>
          <t>Act_ITP_12042_190734_727</t>
        </is>
      </c>
      <c r="C282" s="3" t="inlineStr">
        <is>
          <t>12042</t>
        </is>
      </c>
      <c r="D282" s="9" t="n">
        <v>272</v>
      </c>
      <c r="E282" s="3" t="n"/>
      <c r="F282" s="3" t="n"/>
      <c r="G282" s="9" t="n"/>
      <c r="H282" s="10" t="n">
        <v>45666.7969212963</v>
      </c>
      <c r="I282" s="10" t="n">
        <v>45666.79969907407</v>
      </c>
      <c r="J282" s="10" t="n">
        <v>45666.80393518518</v>
      </c>
      <c r="K282" s="11" t="n">
        <v>0.004236111111111112</v>
      </c>
      <c r="L282" s="13" t="n">
        <v>2</v>
      </c>
    </row>
    <row r="283">
      <c r="A283" s="3" t="inlineStr">
        <is>
          <t>IncomingTrainPreparation</t>
        </is>
      </c>
      <c r="B283" s="3" t="inlineStr">
        <is>
          <t>Act_ITP_12043_223249_703</t>
        </is>
      </c>
      <c r="C283" s="3" t="inlineStr">
        <is>
          <t>12043</t>
        </is>
      </c>
      <c r="D283" s="9" t="n">
        <v>160</v>
      </c>
      <c r="E283" s="3" t="n"/>
      <c r="F283" s="3" t="n"/>
      <c r="G283" s="9" t="n"/>
      <c r="H283" s="10" t="n">
        <v>45666.93945601852</v>
      </c>
      <c r="I283" s="10" t="n">
        <v>45666.9422337963</v>
      </c>
      <c r="J283" s="10" t="n">
        <v>45666.94451388889</v>
      </c>
      <c r="K283" s="11" t="n">
        <v>0.002280092592592593</v>
      </c>
      <c r="L283" s="13" t="n">
        <v>0</v>
      </c>
    </row>
    <row r="284">
      <c r="A284" s="3" t="inlineStr">
        <is>
          <t>IncomingTrainPreparation</t>
        </is>
      </c>
      <c r="B284" s="3" t="inlineStr">
        <is>
          <t>Act_ITP_12044_070249_703</t>
        </is>
      </c>
      <c r="C284" s="3" t="inlineStr">
        <is>
          <t>12044</t>
        </is>
      </c>
      <c r="D284" s="9" t="n">
        <v>160</v>
      </c>
      <c r="E284" s="3" t="n"/>
      <c r="F284" s="3" t="n"/>
      <c r="G284" s="9" t="n"/>
      <c r="H284" s="10" t="n">
        <v>45667.29362268518</v>
      </c>
      <c r="I284" s="10" t="n">
        <v>45667.29640046296</v>
      </c>
      <c r="J284" s="10" t="n">
        <v>45667.30039351852</v>
      </c>
      <c r="K284" s="11" t="n">
        <v>0.003993055555555555</v>
      </c>
      <c r="L284" s="13" t="n">
        <v>3</v>
      </c>
    </row>
    <row r="285">
      <c r="A285" s="3" t="inlineStr">
        <is>
          <t>IncomingTrainPreparation</t>
        </is>
      </c>
      <c r="B285" s="3" t="inlineStr">
        <is>
          <t>Act_ITP_12045_073746_703</t>
        </is>
      </c>
      <c r="C285" s="3" t="inlineStr">
        <is>
          <t>12045</t>
        </is>
      </c>
      <c r="D285" s="9" t="n">
        <v>144</v>
      </c>
      <c r="E285" s="3" t="n"/>
      <c r="F285" s="3" t="n"/>
      <c r="G285" s="9" t="n"/>
      <c r="H285" s="10" t="n">
        <v>45667.31789351852</v>
      </c>
      <c r="I285" s="10" t="n">
        <v>45667.32067129629</v>
      </c>
      <c r="J285" s="10" t="n">
        <v>45667.32398148148</v>
      </c>
      <c r="K285" s="11" t="n">
        <v>0.003310185185185185</v>
      </c>
      <c r="L285" s="13" t="n">
        <v>2</v>
      </c>
    </row>
    <row r="286">
      <c r="A286" s="3" t="inlineStr">
        <is>
          <t>IncomingTrainPreparation</t>
        </is>
      </c>
      <c r="B286" s="3" t="inlineStr">
        <is>
          <t>Act_ITP_12046_082637_703</t>
        </is>
      </c>
      <c r="C286" s="3" t="inlineStr">
        <is>
          <t>12046</t>
        </is>
      </c>
      <c r="D286" s="9" t="n">
        <v>96</v>
      </c>
      <c r="E286" s="3" t="n"/>
      <c r="F286" s="3" t="n"/>
      <c r="G286" s="9" t="n"/>
      <c r="H286" s="10" t="n">
        <v>45667.35181712963</v>
      </c>
      <c r="I286" s="10" t="n">
        <v>45667.35459490741</v>
      </c>
      <c r="J286" s="10" t="n">
        <v>45667.35618055556</v>
      </c>
      <c r="K286" s="11" t="n">
        <v>0.001585648148148148</v>
      </c>
      <c r="L286" s="13" t="n">
        <v>1</v>
      </c>
    </row>
    <row r="287">
      <c r="A287" s="3" t="inlineStr">
        <is>
          <t>IncomingTrainPreparation</t>
        </is>
      </c>
      <c r="B287" s="3" t="inlineStr">
        <is>
          <t>Act_ITP_12047_090553_703</t>
        </is>
      </c>
      <c r="C287" s="3" t="inlineStr">
        <is>
          <t>12047</t>
        </is>
      </c>
      <c r="D287" s="9" t="n">
        <v>176</v>
      </c>
      <c r="E287" s="3" t="n"/>
      <c r="F287" s="3" t="n"/>
      <c r="G287" s="9" t="n"/>
      <c r="H287" s="10" t="n">
        <v>45667.37908564815</v>
      </c>
      <c r="I287" s="10" t="n">
        <v>45667.38186342592</v>
      </c>
      <c r="J287" s="10" t="n">
        <v>45667.38533564815</v>
      </c>
      <c r="K287" s="11" t="n">
        <v>0.003472222222222222</v>
      </c>
      <c r="L287" s="13" t="n">
        <v>2</v>
      </c>
    </row>
    <row r="288">
      <c r="A288" s="3" t="inlineStr">
        <is>
          <t>IncomingTrainPreparation</t>
        </is>
      </c>
      <c r="B288" s="3" t="inlineStr">
        <is>
          <t>Act_ITP_12048_130228_727</t>
        </is>
      </c>
      <c r="C288" s="3" t="inlineStr">
        <is>
          <t>12048</t>
        </is>
      </c>
      <c r="D288" s="9" t="n">
        <v>240</v>
      </c>
      <c r="E288" s="3" t="n"/>
      <c r="F288" s="3" t="n"/>
      <c r="G288" s="9" t="n"/>
      <c r="H288" s="10" t="n">
        <v>45667.54337962963</v>
      </c>
      <c r="I288" s="10" t="n">
        <v>45667.54615740741</v>
      </c>
      <c r="J288" s="10" t="n">
        <v>45667.54975694444</v>
      </c>
      <c r="K288" s="11" t="n">
        <v>0.003599537037037037</v>
      </c>
      <c r="L288" s="13" t="n">
        <v>2</v>
      </c>
    </row>
    <row r="289">
      <c r="A289" s="3" t="inlineStr">
        <is>
          <t>IncomingTrainPreparation</t>
        </is>
      </c>
      <c r="B289" s="3" t="inlineStr">
        <is>
          <t>Act_ITP_12049_130302_703</t>
        </is>
      </c>
      <c r="C289" s="3" t="inlineStr">
        <is>
          <t>12049</t>
        </is>
      </c>
      <c r="D289" s="9" t="n">
        <v>224</v>
      </c>
      <c r="E289" s="3" t="n"/>
      <c r="F289" s="3" t="n"/>
      <c r="G289" s="9" t="n"/>
      <c r="H289" s="10" t="n">
        <v>45667.54377314815</v>
      </c>
      <c r="I289" s="10" t="n">
        <v>45667.54655092592</v>
      </c>
      <c r="J289" s="10" t="n">
        <v>45667.55145833334</v>
      </c>
      <c r="K289" s="11" t="n">
        <v>0.004907407407407407</v>
      </c>
      <c r="L289" s="13" t="n">
        <v>3</v>
      </c>
    </row>
    <row r="290">
      <c r="A290" s="3" t="inlineStr">
        <is>
          <t>IncomingTrainPreparation</t>
        </is>
      </c>
      <c r="B290" s="3" t="inlineStr">
        <is>
          <t>Act_ITP_12050_150259_703</t>
        </is>
      </c>
      <c r="C290" s="3" t="inlineStr">
        <is>
          <t>12050</t>
        </is>
      </c>
      <c r="D290" s="9" t="n">
        <v>208</v>
      </c>
      <c r="E290" s="3" t="n"/>
      <c r="F290" s="3" t="n"/>
      <c r="G290" s="9" t="n"/>
      <c r="H290" s="10" t="n">
        <v>45667.62707175926</v>
      </c>
      <c r="I290" s="10" t="n">
        <v>45667.62984953704</v>
      </c>
      <c r="J290" s="10" t="n">
        <v>45667.63381944445</v>
      </c>
      <c r="K290" s="11" t="n">
        <v>0.003969907407407407</v>
      </c>
      <c r="L290" s="13" t="n">
        <v>2</v>
      </c>
    </row>
    <row r="291">
      <c r="A291" s="3" t="inlineStr">
        <is>
          <t>IncomingTrainPreparation</t>
        </is>
      </c>
      <c r="B291" s="3" t="inlineStr">
        <is>
          <t>Act_ITP_12051_154349_703</t>
        </is>
      </c>
      <c r="C291" s="3" t="inlineStr">
        <is>
          <t>12051</t>
        </is>
      </c>
      <c r="D291" s="9" t="n">
        <v>160</v>
      </c>
      <c r="E291" s="3" t="n"/>
      <c r="F291" s="3" t="n"/>
      <c r="G291" s="9" t="n"/>
      <c r="H291" s="10" t="n">
        <v>45667.65542824074</v>
      </c>
      <c r="I291" s="10" t="n">
        <v>45667.65820601852</v>
      </c>
      <c r="J291" s="10" t="n">
        <v>45667.66059027778</v>
      </c>
      <c r="K291" s="11" t="n">
        <v>0.002384259259259259</v>
      </c>
      <c r="L291" s="13" t="n">
        <v>0</v>
      </c>
    </row>
    <row r="292">
      <c r="A292" s="3" t="inlineStr">
        <is>
          <t>IncomingTrainPreparation</t>
        </is>
      </c>
      <c r="B292" s="3" t="inlineStr">
        <is>
          <t>Act_ITP_12052_161602_703</t>
        </is>
      </c>
      <c r="C292" s="3" t="inlineStr">
        <is>
          <t>12052</t>
        </is>
      </c>
      <c r="D292" s="9" t="n">
        <v>224</v>
      </c>
      <c r="E292" s="3" t="n"/>
      <c r="F292" s="3" t="n"/>
      <c r="G292" s="9" t="n"/>
      <c r="H292" s="10" t="n">
        <v>45667.67780092593</v>
      </c>
      <c r="I292" s="10" t="n">
        <v>45667.6805787037</v>
      </c>
      <c r="J292" s="10" t="n">
        <v>45667.6846875</v>
      </c>
      <c r="K292" s="11" t="n">
        <v>0.004108796296296296</v>
      </c>
      <c r="L292" s="13" t="n">
        <v>2</v>
      </c>
    </row>
    <row r="293">
      <c r="A293" s="3" t="inlineStr">
        <is>
          <t>IncomingTrainPreparation</t>
        </is>
      </c>
      <c r="B293" s="3" t="inlineStr">
        <is>
          <t>Act_ITP_12053_165643_703</t>
        </is>
      </c>
      <c r="C293" s="3" t="inlineStr">
        <is>
          <t>12053</t>
        </is>
      </c>
      <c r="D293" s="9" t="n">
        <v>128</v>
      </c>
      <c r="E293" s="3" t="n"/>
      <c r="F293" s="3" t="n"/>
      <c r="G293" s="9" t="n"/>
      <c r="H293" s="10" t="n">
        <v>45667.70605324074</v>
      </c>
      <c r="I293" s="10" t="n">
        <v>45667.70883101852</v>
      </c>
      <c r="J293" s="10" t="n">
        <v>45667.71202546296</v>
      </c>
      <c r="K293" s="11" t="n">
        <v>0.003194444444444445</v>
      </c>
      <c r="L293" s="13" t="n">
        <v>2</v>
      </c>
    </row>
    <row r="294">
      <c r="A294" s="3" t="inlineStr">
        <is>
          <t>IncomingTrainPreparation</t>
        </is>
      </c>
      <c r="B294" s="3" t="inlineStr">
        <is>
          <t>Act_ITP_12054_200246_703</t>
        </is>
      </c>
      <c r="C294" s="3" t="inlineStr">
        <is>
          <t>12054</t>
        </is>
      </c>
      <c r="D294" s="9" t="n">
        <v>144</v>
      </c>
      <c r="E294" s="3" t="n"/>
      <c r="F294" s="3" t="n"/>
      <c r="G294" s="9" t="n"/>
      <c r="H294" s="10" t="n">
        <v>45667.83525462963</v>
      </c>
      <c r="I294" s="10" t="n">
        <v>45667.83803240741</v>
      </c>
      <c r="J294" s="10" t="n">
        <v>45667.8403587963</v>
      </c>
      <c r="K294" s="11" t="n">
        <v>0.002326388888888889</v>
      </c>
      <c r="L294" s="13" t="n">
        <v>1</v>
      </c>
    </row>
    <row r="295">
      <c r="A295" s="3" t="inlineStr">
        <is>
          <t>IncomingTrainPreparation</t>
        </is>
      </c>
      <c r="B295" s="3" t="inlineStr">
        <is>
          <t>Act_ITP_12055_223237_703</t>
        </is>
      </c>
      <c r="C295" s="3" t="inlineStr">
        <is>
          <t>12055</t>
        </is>
      </c>
      <c r="D295" s="9" t="n">
        <v>96</v>
      </c>
      <c r="E295" s="3" t="n"/>
      <c r="F295" s="3" t="n"/>
      <c r="G295" s="9" t="n"/>
      <c r="H295" s="10" t="n">
        <v>45667.93931712963</v>
      </c>
      <c r="I295" s="10" t="n">
        <v>45667.9420949074</v>
      </c>
      <c r="J295" s="10" t="n">
        <v>45667.94502314815</v>
      </c>
      <c r="K295" s="11" t="n">
        <v>0.002928240740740741</v>
      </c>
      <c r="L295" s="13" t="n">
        <v>2</v>
      </c>
    </row>
    <row r="296">
      <c r="A296" s="3" t="inlineStr">
        <is>
          <t>IncomingTrainPreparation</t>
        </is>
      </c>
      <c r="B296" s="3" t="inlineStr">
        <is>
          <t>Act_ITP_12056_060240_703</t>
        </is>
      </c>
      <c r="C296" s="3" t="inlineStr">
        <is>
          <t>12056</t>
        </is>
      </c>
      <c r="D296" s="9" t="n">
        <v>112</v>
      </c>
      <c r="E296" s="3" t="n"/>
      <c r="F296" s="3" t="n"/>
      <c r="G296" s="9" t="n"/>
      <c r="H296" s="10" t="n">
        <v>45668.25185185186</v>
      </c>
      <c r="I296" s="10" t="n">
        <v>45668.25462962963</v>
      </c>
      <c r="J296" s="10" t="n">
        <v>45668.25667824074</v>
      </c>
      <c r="K296" s="11" t="n">
        <v>0.002048611111111111</v>
      </c>
      <c r="L296" s="13" t="n">
        <v>0</v>
      </c>
    </row>
    <row r="297">
      <c r="A297" s="3" t="inlineStr">
        <is>
          <t>IncomingTrainPreparation</t>
        </is>
      </c>
      <c r="B297" s="3" t="inlineStr">
        <is>
          <t>Act_ITP_12057_061505_727</t>
        </is>
      </c>
      <c r="C297" s="3" t="inlineStr">
        <is>
          <t>12057</t>
        </is>
      </c>
      <c r="D297" s="9" t="n">
        <v>128</v>
      </c>
      <c r="E297" s="3" t="n"/>
      <c r="F297" s="3" t="n"/>
      <c r="G297" s="9" t="n"/>
      <c r="H297" s="10" t="n">
        <v>45668.26047453703</v>
      </c>
      <c r="I297" s="10" t="n">
        <v>45668.26325231481</v>
      </c>
      <c r="J297" s="10" t="n">
        <v>45668.26645833333</v>
      </c>
      <c r="K297" s="11" t="n">
        <v>0.003206018518518519</v>
      </c>
      <c r="L297" s="13" t="n">
        <v>2</v>
      </c>
    </row>
    <row r="298">
      <c r="A298" s="3" t="inlineStr">
        <is>
          <t>IncomingTrainPreparation</t>
        </is>
      </c>
      <c r="B298" s="3" t="inlineStr">
        <is>
          <t>Act_ITP_12058_063343_703</t>
        </is>
      </c>
      <c r="C298" s="3" t="inlineStr">
        <is>
          <t>12058</t>
        </is>
      </c>
      <c r="D298" s="9" t="n">
        <v>128</v>
      </c>
      <c r="E298" s="3" t="n"/>
      <c r="F298" s="3" t="n"/>
      <c r="G298" s="9" t="n"/>
      <c r="H298" s="10" t="n">
        <v>45668.27341435185</v>
      </c>
      <c r="I298" s="10" t="n">
        <v>45668.27619212963</v>
      </c>
      <c r="J298" s="10" t="n">
        <v>45668.27837962963</v>
      </c>
      <c r="K298" s="11" t="n">
        <v>0.0021875</v>
      </c>
      <c r="L298" s="13" t="n">
        <v>0</v>
      </c>
    </row>
    <row r="299">
      <c r="A299" s="3" t="inlineStr">
        <is>
          <t>IncomingTrainPreparation</t>
        </is>
      </c>
      <c r="B299" s="3" t="inlineStr">
        <is>
          <t>Act_ITP_12059_065840_703</t>
        </is>
      </c>
      <c r="C299" s="3" t="inlineStr">
        <is>
          <t>12059</t>
        </is>
      </c>
      <c r="D299" s="9" t="n">
        <v>112</v>
      </c>
      <c r="E299" s="3" t="n"/>
      <c r="F299" s="3" t="n"/>
      <c r="G299" s="9" t="n"/>
      <c r="H299" s="10" t="n">
        <v>45668.29074074074</v>
      </c>
      <c r="I299" s="10" t="n">
        <v>45668.29351851852</v>
      </c>
      <c r="J299" s="10" t="n">
        <v>45668.29563657408</v>
      </c>
      <c r="K299" s="11" t="n">
        <v>0.002118055555555556</v>
      </c>
      <c r="L299" s="13" t="n">
        <v>0</v>
      </c>
    </row>
    <row r="300">
      <c r="A300" s="3" t="inlineStr">
        <is>
          <t>IncomingTrainPreparation</t>
        </is>
      </c>
      <c r="B300" s="3" t="inlineStr">
        <is>
          <t>Act_ITP_12060_071940_703</t>
        </is>
      </c>
      <c r="C300" s="3" t="inlineStr">
        <is>
          <t>12060</t>
        </is>
      </c>
      <c r="D300" s="9" t="n">
        <v>112</v>
      </c>
      <c r="E300" s="3" t="n"/>
      <c r="F300" s="3" t="n"/>
      <c r="G300" s="9" t="n"/>
      <c r="H300" s="10" t="n">
        <v>45668.30532407408</v>
      </c>
      <c r="I300" s="10" t="n">
        <v>45668.30810185185</v>
      </c>
      <c r="J300" s="10" t="n">
        <v>45668.31106481481</v>
      </c>
      <c r="K300" s="11" t="n">
        <v>0.002962962962962963</v>
      </c>
      <c r="L300" s="13" t="n">
        <v>2</v>
      </c>
    </row>
    <row r="301">
      <c r="A301" s="3" t="inlineStr">
        <is>
          <t>IncomingTrainPreparation</t>
        </is>
      </c>
      <c r="B301" s="3" t="inlineStr">
        <is>
          <t>Act_ITP_12061_120240_703</t>
        </is>
      </c>
      <c r="C301" s="3" t="inlineStr">
        <is>
          <t>12061</t>
        </is>
      </c>
      <c r="D301" s="9" t="n">
        <v>112</v>
      </c>
      <c r="E301" s="3" t="n"/>
      <c r="F301" s="3" t="n"/>
      <c r="G301" s="9" t="n"/>
      <c r="H301" s="10" t="n">
        <v>45668.50185185186</v>
      </c>
      <c r="I301" s="10" t="n">
        <v>45668.50462962963</v>
      </c>
      <c r="J301" s="10" t="n">
        <v>45668.50674768518</v>
      </c>
      <c r="K301" s="11" t="n">
        <v>0.002118055555555556</v>
      </c>
      <c r="L301" s="13" t="n">
        <v>1</v>
      </c>
    </row>
    <row r="302">
      <c r="A302" s="3" t="inlineStr">
        <is>
          <t>IncomingTrainPreparation</t>
        </is>
      </c>
      <c r="B302" s="3" t="inlineStr">
        <is>
          <t>Act_ITP_12062_121946_703</t>
        </is>
      </c>
      <c r="C302" s="3" t="inlineStr">
        <is>
          <t>12062</t>
        </is>
      </c>
      <c r="D302" s="9" t="n">
        <v>144</v>
      </c>
      <c r="E302" s="3" t="n"/>
      <c r="F302" s="3" t="n"/>
      <c r="G302" s="9" t="n"/>
      <c r="H302" s="10" t="n">
        <v>45668.51372685185</v>
      </c>
      <c r="I302" s="10" t="n">
        <v>45668.51650462963</v>
      </c>
      <c r="J302" s="10" t="n">
        <v>45668.51869212963</v>
      </c>
      <c r="K302" s="11" t="n">
        <v>0.0021875</v>
      </c>
      <c r="L302" s="13" t="n">
        <v>1</v>
      </c>
    </row>
    <row r="303">
      <c r="A303" s="3" t="inlineStr">
        <is>
          <t>IncomingTrainPreparation</t>
        </is>
      </c>
      <c r="B303" s="3" t="inlineStr">
        <is>
          <t>Act_ITP_12063_123302_727</t>
        </is>
      </c>
      <c r="C303" s="3" t="inlineStr">
        <is>
          <t>12063</t>
        </is>
      </c>
      <c r="D303" s="9" t="n">
        <v>112</v>
      </c>
      <c r="E303" s="3" t="n"/>
      <c r="F303" s="3" t="n"/>
      <c r="G303" s="9" t="n"/>
      <c r="H303" s="10" t="n">
        <v>45668.52293981481</v>
      </c>
      <c r="I303" s="10" t="n">
        <v>45668.52571759259</v>
      </c>
      <c r="J303" s="10" t="n">
        <v>45668.52765046297</v>
      </c>
      <c r="K303" s="11" t="n">
        <v>0.00193287037037037</v>
      </c>
      <c r="L303" s="13" t="n">
        <v>0</v>
      </c>
    </row>
    <row r="304">
      <c r="A304" s="3" t="inlineStr">
        <is>
          <t>IncomingTrainPreparation</t>
        </is>
      </c>
      <c r="B304" s="3" t="inlineStr">
        <is>
          <t>Act_ITP_12064_123843_703</t>
        </is>
      </c>
      <c r="C304" s="3" t="inlineStr">
        <is>
          <t>12064</t>
        </is>
      </c>
      <c r="D304" s="9" t="n">
        <v>128</v>
      </c>
      <c r="E304" s="3" t="n"/>
      <c r="F304" s="3" t="n"/>
      <c r="G304" s="9" t="n"/>
      <c r="H304" s="10" t="n">
        <v>45668.52688657407</v>
      </c>
      <c r="I304" s="10" t="n">
        <v>45668.52966435185</v>
      </c>
      <c r="J304" s="10" t="n">
        <v>45668.53306712963</v>
      </c>
      <c r="K304" s="11" t="n">
        <v>0.003402777777777778</v>
      </c>
      <c r="L304" s="13" t="n">
        <v>2</v>
      </c>
    </row>
    <row r="305">
      <c r="A305" s="3" t="inlineStr">
        <is>
          <t>IncomingTrainPreparation</t>
        </is>
      </c>
      <c r="B305" s="3" t="inlineStr">
        <is>
          <t>Act_ITP_12065_125421_727</t>
        </is>
      </c>
      <c r="C305" s="3" t="inlineStr">
        <is>
          <t>12065</t>
        </is>
      </c>
      <c r="D305" s="9" t="n">
        <v>208</v>
      </c>
      <c r="E305" s="3" t="n"/>
      <c r="F305" s="3" t="n"/>
      <c r="G305" s="9" t="n"/>
      <c r="H305" s="10" t="n">
        <v>45668.53774305555</v>
      </c>
      <c r="I305" s="10" t="n">
        <v>45668.54052083333</v>
      </c>
      <c r="J305" s="10" t="n">
        <v>45668.54461805556</v>
      </c>
      <c r="K305" s="11" t="n">
        <v>0.004097222222222223</v>
      </c>
      <c r="L305" s="13" t="n">
        <v>2</v>
      </c>
    </row>
    <row r="306">
      <c r="A306" s="3" t="inlineStr">
        <is>
          <t>IncomingTrainPreparation</t>
        </is>
      </c>
      <c r="B306" s="3" t="inlineStr">
        <is>
          <t>Act_ITP_12066_130637_703</t>
        </is>
      </c>
      <c r="C306" s="3" t="inlineStr">
        <is>
          <t>12066</t>
        </is>
      </c>
      <c r="D306" s="9" t="n">
        <v>96</v>
      </c>
      <c r="E306" s="3" t="n"/>
      <c r="F306" s="3" t="n"/>
      <c r="G306" s="9" t="n"/>
      <c r="H306" s="10" t="n">
        <v>45668.54626157408</v>
      </c>
      <c r="I306" s="10" t="n">
        <v>45668.54903935185</v>
      </c>
      <c r="J306" s="10" t="n">
        <v>45668.55101851852</v>
      </c>
      <c r="K306" s="11" t="n">
        <v>0.001979166666666667</v>
      </c>
      <c r="L306" s="13" t="n">
        <v>1</v>
      </c>
    </row>
    <row r="307">
      <c r="A307" s="3" t="inlineStr">
        <is>
          <t>IncomingTrainPreparation</t>
        </is>
      </c>
      <c r="B307" s="3" t="inlineStr">
        <is>
          <t>Act_ITP_12067_180233_703</t>
        </is>
      </c>
      <c r="C307" s="3" t="inlineStr">
        <is>
          <t>12067</t>
        </is>
      </c>
      <c r="D307" s="9" t="n">
        <v>80</v>
      </c>
      <c r="E307" s="3" t="n"/>
      <c r="F307" s="3" t="n"/>
      <c r="G307" s="9" t="n"/>
      <c r="H307" s="10" t="n">
        <v>45668.75177083333</v>
      </c>
      <c r="I307" s="10" t="n">
        <v>45668.75454861111</v>
      </c>
      <c r="J307" s="10" t="n">
        <v>45668.75606481481</v>
      </c>
      <c r="K307" s="11" t="n">
        <v>0.001516203703703704</v>
      </c>
      <c r="L307" s="13" t="n">
        <v>1</v>
      </c>
    </row>
    <row r="308">
      <c r="A308" s="3" t="inlineStr">
        <is>
          <t>IncomingTrainPreparation</t>
        </is>
      </c>
      <c r="B308" s="3" t="inlineStr">
        <is>
          <t>Act_ITP_12068_210318_703</t>
        </is>
      </c>
      <c r="C308" s="3" t="inlineStr">
        <is>
          <t>12068</t>
        </is>
      </c>
      <c r="D308" s="9" t="n">
        <v>304</v>
      </c>
      <c r="E308" s="3" t="n"/>
      <c r="F308" s="3" t="n"/>
      <c r="G308" s="9" t="n"/>
      <c r="H308" s="10" t="n">
        <v>45668.87729166666</v>
      </c>
      <c r="I308" s="10" t="n">
        <v>45668.88006944444</v>
      </c>
      <c r="J308" s="10" t="n">
        <v>45668.885</v>
      </c>
      <c r="K308" s="11" t="n">
        <v>0.004930555555555555</v>
      </c>
      <c r="L308" s="13" t="n">
        <v>2</v>
      </c>
    </row>
    <row r="309">
      <c r="A309" s="3" t="inlineStr">
        <is>
          <t>IncomingTrainPreparation</t>
        </is>
      </c>
      <c r="B309" s="3" t="inlineStr">
        <is>
          <t>Act_ITP_12069_233249_703</t>
        </is>
      </c>
      <c r="C309" s="3" t="inlineStr">
        <is>
          <t>12069</t>
        </is>
      </c>
      <c r="D309" s="9" t="n">
        <v>160</v>
      </c>
      <c r="E309" s="3" t="n"/>
      <c r="F309" s="3" t="n"/>
      <c r="G309" s="9" t="n"/>
      <c r="H309" s="10" t="n">
        <v>45668.98112268518</v>
      </c>
      <c r="I309" s="10" t="n">
        <v>45668.98390046296</v>
      </c>
      <c r="J309" s="10" t="n">
        <v>45668.98599537037</v>
      </c>
      <c r="K309" s="11" t="n">
        <v>0.002094907407407407</v>
      </c>
      <c r="L309" s="13" t="n">
        <v>1</v>
      </c>
    </row>
    <row r="310">
      <c r="A310" s="3" t="inlineStr">
        <is>
          <t>IncomingTrainPreparation</t>
        </is>
      </c>
      <c r="B310" s="3" t="inlineStr">
        <is>
          <t>Act_ITP_12070_080259_703</t>
        </is>
      </c>
      <c r="C310" s="3" t="inlineStr">
        <is>
          <t>12070</t>
        </is>
      </c>
      <c r="D310" s="9" t="n">
        <v>208</v>
      </c>
      <c r="E310" s="3" t="n"/>
      <c r="F310" s="3" t="n"/>
      <c r="G310" s="9" t="n"/>
      <c r="H310" s="10" t="n">
        <v>45669.33540509259</v>
      </c>
      <c r="I310" s="10" t="n">
        <v>45669.33818287037</v>
      </c>
      <c r="J310" s="10" t="n">
        <v>45669.34342592592</v>
      </c>
      <c r="K310" s="11" t="n">
        <v>0.005243055555555555</v>
      </c>
      <c r="L310" s="13" t="n">
        <v>3</v>
      </c>
    </row>
    <row r="311">
      <c r="A311" s="3" t="inlineStr">
        <is>
          <t>IncomingTrainPreparation</t>
        </is>
      </c>
      <c r="B311" s="3" t="inlineStr">
        <is>
          <t>Act_ITP_12071_092753_703</t>
        </is>
      </c>
      <c r="C311" s="3" t="inlineStr">
        <is>
          <t>12071</t>
        </is>
      </c>
      <c r="D311" s="9" t="n">
        <v>176</v>
      </c>
      <c r="E311" s="3" t="n"/>
      <c r="F311" s="3" t="n"/>
      <c r="G311" s="9" t="n"/>
      <c r="H311" s="10" t="n">
        <v>45669.39436342593</v>
      </c>
      <c r="I311" s="10" t="n">
        <v>45669.39714120371</v>
      </c>
      <c r="J311" s="10" t="n">
        <v>45669.40027777778</v>
      </c>
      <c r="K311" s="11" t="n">
        <v>0.003136574074074074</v>
      </c>
      <c r="L311" s="13" t="n">
        <v>2</v>
      </c>
    </row>
    <row r="312">
      <c r="A312" s="3" t="inlineStr">
        <is>
          <t>IncomingTrainPreparation</t>
        </is>
      </c>
      <c r="B312" s="3" t="inlineStr">
        <is>
          <t>Act_ITP_12072_101043_703</t>
        </is>
      </c>
      <c r="C312" s="3" t="inlineStr">
        <is>
          <t>12072</t>
        </is>
      </c>
      <c r="D312" s="9" t="n">
        <v>128</v>
      </c>
      <c r="E312" s="3" t="n"/>
      <c r="F312" s="3" t="n"/>
      <c r="G312" s="9" t="n"/>
      <c r="H312" s="10" t="n">
        <v>45669.42410879629</v>
      </c>
      <c r="I312" s="10" t="n">
        <v>45669.42688657407</v>
      </c>
      <c r="J312" s="10" t="n">
        <v>45669.43028935185</v>
      </c>
      <c r="K312" s="11" t="n">
        <v>0.003402777777777778</v>
      </c>
      <c r="L312" s="13" t="n">
        <v>2</v>
      </c>
    </row>
    <row r="313">
      <c r="A313" s="3" t="inlineStr">
        <is>
          <t>IncomingTrainPreparation</t>
        </is>
      </c>
      <c r="B313" s="3" t="inlineStr">
        <is>
          <t>Act_ITP_12073_110153_703</t>
        </is>
      </c>
      <c r="C313" s="3" t="inlineStr">
        <is>
          <t>12073</t>
        </is>
      </c>
      <c r="D313" s="9" t="n">
        <v>176</v>
      </c>
      <c r="E313" s="3" t="n"/>
      <c r="F313" s="3" t="n"/>
      <c r="G313" s="9" t="n"/>
      <c r="H313" s="10" t="n">
        <v>45669.45964120371</v>
      </c>
      <c r="I313" s="10" t="n">
        <v>45669.46241898148</v>
      </c>
      <c r="J313" s="10" t="n">
        <v>45669.46555555556</v>
      </c>
      <c r="K313" s="11" t="n">
        <v>0.003136574074074074</v>
      </c>
      <c r="L313" s="13" t="n">
        <v>2</v>
      </c>
    </row>
    <row r="314">
      <c r="A314" s="3" t="inlineStr">
        <is>
          <t>IncomingTrainPreparation</t>
        </is>
      </c>
      <c r="B314" s="3" t="inlineStr">
        <is>
          <t>Act_ITP_12074_115053_703</t>
        </is>
      </c>
      <c r="C314" s="3" t="inlineStr">
        <is>
          <t>12074</t>
        </is>
      </c>
      <c r="D314" s="9" t="n">
        <v>176</v>
      </c>
      <c r="E314" s="3" t="n"/>
      <c r="F314" s="3" t="n"/>
      <c r="G314" s="9" t="n"/>
      <c r="H314" s="10" t="n">
        <v>45669.49366898148</v>
      </c>
      <c r="I314" s="10" t="n">
        <v>45669.49644675926</v>
      </c>
      <c r="J314" s="10" t="n">
        <v>45669.5002662037</v>
      </c>
      <c r="K314" s="11" t="n">
        <v>0.003819444444444444</v>
      </c>
      <c r="L314" s="13" t="n">
        <v>2</v>
      </c>
    </row>
    <row r="315">
      <c r="A315" s="3" t="inlineStr">
        <is>
          <t>IncomingTrainPreparation</t>
        </is>
      </c>
      <c r="B315" s="3" t="inlineStr">
        <is>
          <t>Act_ITP_12075_160246_703</t>
        </is>
      </c>
      <c r="C315" s="3" t="inlineStr">
        <is>
          <t>12075</t>
        </is>
      </c>
      <c r="D315" s="9" t="n">
        <v>144</v>
      </c>
      <c r="E315" s="3" t="n"/>
      <c r="F315" s="3" t="n"/>
      <c r="G315" s="9" t="n"/>
      <c r="H315" s="10" t="n">
        <v>45669.66858796297</v>
      </c>
      <c r="I315" s="10" t="n">
        <v>45669.67136574074</v>
      </c>
      <c r="J315" s="10" t="n">
        <v>45669.67428240741</v>
      </c>
      <c r="K315" s="11" t="n">
        <v>0.002916666666666667</v>
      </c>
      <c r="L315" s="13" t="n">
        <v>2</v>
      </c>
    </row>
    <row r="316">
      <c r="A316" s="3" t="inlineStr">
        <is>
          <t>IncomingTrainPreparation</t>
        </is>
      </c>
      <c r="B316" s="3" t="inlineStr">
        <is>
          <t>Act_ITP_12076_190249_703</t>
        </is>
      </c>
      <c r="C316" s="3" t="inlineStr">
        <is>
          <t>12076</t>
        </is>
      </c>
      <c r="D316" s="9" t="n">
        <v>160</v>
      </c>
      <c r="E316" s="3" t="n"/>
      <c r="F316" s="3" t="n"/>
      <c r="G316" s="9" t="n"/>
      <c r="H316" s="10" t="n">
        <v>45669.79362268518</v>
      </c>
      <c r="I316" s="10" t="n">
        <v>45669.79640046296</v>
      </c>
      <c r="J316" s="10" t="n">
        <v>45669.79893518519</v>
      </c>
      <c r="K316" s="11" t="n">
        <v>0.002534722222222222</v>
      </c>
      <c r="L316" s="13" t="n">
        <v>1</v>
      </c>
    </row>
    <row r="317">
      <c r="A317" s="3" t="inlineStr">
        <is>
          <t>IncomingTrainPreparation</t>
        </is>
      </c>
      <c r="B317" s="3" t="inlineStr">
        <is>
          <t>Act_ITP_12077_220302_703</t>
        </is>
      </c>
      <c r="C317" s="3" t="inlineStr">
        <is>
          <t>12077</t>
        </is>
      </c>
      <c r="D317" s="9" t="n">
        <v>224</v>
      </c>
      <c r="E317" s="3" t="n"/>
      <c r="F317" s="3" t="n"/>
      <c r="G317" s="9" t="n"/>
      <c r="H317" s="10" t="n">
        <v>45669.91877314815</v>
      </c>
      <c r="I317" s="10" t="n">
        <v>45669.92155092592</v>
      </c>
      <c r="J317" s="10" t="n">
        <v>45669.92410879629</v>
      </c>
      <c r="K317" s="11" t="n">
        <v>0.002557870370370371</v>
      </c>
      <c r="L317" s="13" t="n">
        <v>0</v>
      </c>
    </row>
    <row r="318">
      <c r="A318" s="3" t="inlineStr">
        <is>
          <t>OutboundTrainPreparation</t>
        </is>
      </c>
      <c r="B318" s="3" t="inlineStr">
        <is>
          <t>Act_OBTP_OBT060125052942-Ljubljana_052942_615</t>
        </is>
      </c>
      <c r="C318" s="3" t="inlineStr">
        <is>
          <t>OBT060125052942-Ljubljana</t>
        </is>
      </c>
      <c r="D318" s="9" t="n">
        <v>112</v>
      </c>
      <c r="E318" s="3" t="n"/>
      <c r="F318" s="3" t="n"/>
      <c r="G318" s="9" t="n"/>
      <c r="H318" s="10" t="n">
        <v>45663.22895833333</v>
      </c>
      <c r="I318" s="10" t="n">
        <v>45663.23068287037</v>
      </c>
      <c r="J318" s="10" t="n">
        <v>45663.25012731482</v>
      </c>
      <c r="K318" s="11" t="n">
        <v>0.01944444444444444</v>
      </c>
      <c r="L318" s="13" t="n"/>
    </row>
    <row r="319">
      <c r="A319" s="3" t="inlineStr">
        <is>
          <t>OutboundTrainPreparation</t>
        </is>
      </c>
      <c r="B319" s="3" t="inlineStr">
        <is>
          <t>Act_OBTP_OBT060125053957-Graz_053957_627</t>
        </is>
      </c>
      <c r="C319" s="3" t="inlineStr">
        <is>
          <t>OBT060125053957-Graz</t>
        </is>
      </c>
      <c r="D319" s="9" t="n">
        <v>112</v>
      </c>
      <c r="E319" s="3" t="n"/>
      <c r="F319" s="3" t="n"/>
      <c r="G319" s="9" t="n"/>
      <c r="H319" s="10" t="n">
        <v>45663.23607638889</v>
      </c>
      <c r="I319" s="10" t="n">
        <v>45663.23690972223</v>
      </c>
      <c r="J319" s="10" t="n">
        <v>45663.25635416667</v>
      </c>
      <c r="K319" s="11" t="n">
        <v>0.01944444444444444</v>
      </c>
      <c r="L319" s="13" t="n"/>
    </row>
    <row r="320">
      <c r="A320" s="3" t="inlineStr">
        <is>
          <t>OutboundTrainPreparation</t>
        </is>
      </c>
      <c r="B320" s="3" t="inlineStr">
        <is>
          <t>Act_OBTP_OBT060125080833-Innsbruck_080833_615</t>
        </is>
      </c>
      <c r="C320" s="3" t="inlineStr">
        <is>
          <t>OBT060125080833-Innsbruck</t>
        </is>
      </c>
      <c r="D320" s="9" t="n">
        <v>160</v>
      </c>
      <c r="E320" s="3" t="n"/>
      <c r="F320" s="3" t="n"/>
      <c r="G320" s="9" t="n"/>
      <c r="H320" s="10" t="n">
        <v>45663.33927083333</v>
      </c>
      <c r="I320" s="10" t="n">
        <v>45663.34013888889</v>
      </c>
      <c r="J320" s="10" t="n">
        <v>45663.36791666667</v>
      </c>
      <c r="K320" s="11" t="n">
        <v>0.02777777777777778</v>
      </c>
      <c r="L320" s="13" t="n"/>
    </row>
    <row r="321">
      <c r="A321" s="3" t="inlineStr">
        <is>
          <t>OutboundTrainPreparation</t>
        </is>
      </c>
      <c r="B321" s="3" t="inlineStr">
        <is>
          <t>Act_OBTP_OBT060125151513-Graz_151513_605</t>
        </is>
      </c>
      <c r="C321" s="3" t="inlineStr">
        <is>
          <t>OBT060125151513-Graz</t>
        </is>
      </c>
      <c r="D321" s="9" t="n">
        <v>128</v>
      </c>
      <c r="E321" s="3" t="n"/>
      <c r="F321" s="3" t="n"/>
      <c r="G321" s="9" t="n"/>
      <c r="H321" s="10" t="n">
        <v>45663.63556712963</v>
      </c>
      <c r="I321" s="10" t="n">
        <v>45663.63643518519</v>
      </c>
      <c r="J321" s="10" t="n">
        <v>45663.65865740741</v>
      </c>
      <c r="K321" s="11" t="n">
        <v>0.02222222222222222</v>
      </c>
      <c r="L321" s="13" t="n"/>
    </row>
    <row r="322">
      <c r="A322" s="3" t="inlineStr">
        <is>
          <t>OutboundTrainPreparation</t>
        </is>
      </c>
      <c r="B322" s="3" t="inlineStr">
        <is>
          <t>Act_OBTP_OBT060125152158-Salzburg_152158_615</t>
        </is>
      </c>
      <c r="C322" s="3" t="inlineStr">
        <is>
          <t>OBT060125152158-Salzburg</t>
        </is>
      </c>
      <c r="D322" s="9" t="n">
        <v>176</v>
      </c>
      <c r="E322" s="3" t="n"/>
      <c r="F322" s="3" t="n"/>
      <c r="G322" s="9" t="n"/>
      <c r="H322" s="10" t="n">
        <v>45663.64025462963</v>
      </c>
      <c r="I322" s="10" t="n">
        <v>45663.64112268519</v>
      </c>
      <c r="J322" s="10" t="n">
        <v>45663.67167824074</v>
      </c>
      <c r="K322" s="11" t="n">
        <v>0.03055555555555555</v>
      </c>
      <c r="L322" s="13" t="n"/>
    </row>
    <row r="323">
      <c r="A323" s="3" t="inlineStr">
        <is>
          <t>OutboundTrainPreparation</t>
        </is>
      </c>
      <c r="B323" s="3" t="inlineStr">
        <is>
          <t>Act_OBTP_OBT070125062515-Linz_062515_613</t>
        </is>
      </c>
      <c r="C323" s="3" t="inlineStr">
        <is>
          <t>OBT070125062515-Linz</t>
        </is>
      </c>
      <c r="D323" s="9" t="n">
        <v>144</v>
      </c>
      <c r="E323" s="3" t="n"/>
      <c r="F323" s="3" t="n"/>
      <c r="G323" s="9" t="n"/>
      <c r="H323" s="10" t="n">
        <v>45664.26753472222</v>
      </c>
      <c r="I323" s="10" t="n">
        <v>45664.26837962963</v>
      </c>
      <c r="J323" s="10" t="n">
        <v>45664.29337962963</v>
      </c>
      <c r="K323" s="11" t="n">
        <v>0.025</v>
      </c>
      <c r="L323" s="13" t="n"/>
    </row>
    <row r="324">
      <c r="A324" s="3" t="inlineStr">
        <is>
          <t>OutboundTrainPreparation</t>
        </is>
      </c>
      <c r="B324" s="3" t="inlineStr">
        <is>
          <t>Act_OBTP_OBT070125064013-Ljubljana_064013_625</t>
        </is>
      </c>
      <c r="C324" s="3" t="inlineStr">
        <is>
          <t>OBT070125064013-Ljubljana</t>
        </is>
      </c>
      <c r="D324" s="9" t="n">
        <v>192</v>
      </c>
      <c r="E324" s="3" t="n"/>
      <c r="F324" s="3" t="n"/>
      <c r="G324" s="9" t="n"/>
      <c r="H324" s="10" t="n">
        <v>45664.27792824074</v>
      </c>
      <c r="I324" s="10" t="n">
        <v>45664.28612268518</v>
      </c>
      <c r="J324" s="10" t="n">
        <v>45664.31945601852</v>
      </c>
      <c r="K324" s="11" t="n">
        <v>0.03333333333333333</v>
      </c>
      <c r="L324" s="13" t="n"/>
    </row>
    <row r="325">
      <c r="A325" s="3" t="inlineStr">
        <is>
          <t>OutboundTrainPreparation</t>
        </is>
      </c>
      <c r="B325" s="3" t="inlineStr">
        <is>
          <t>Act_OBTP_OBT070125064725-Vienna_064725_615</t>
        </is>
      </c>
      <c r="C325" s="3" t="inlineStr">
        <is>
          <t>OBT070125064725-Vienna</t>
        </is>
      </c>
      <c r="D325" s="9" t="n">
        <v>128</v>
      </c>
      <c r="E325" s="3" t="n"/>
      <c r="F325" s="3" t="n"/>
      <c r="G325" s="9" t="n"/>
      <c r="H325" s="10" t="n">
        <v>45664.28292824074</v>
      </c>
      <c r="I325" s="10" t="n">
        <v>45664.29607638889</v>
      </c>
      <c r="J325" s="10" t="n">
        <v>45664.31829861111</v>
      </c>
      <c r="K325" s="11" t="n">
        <v>0.02222222222222222</v>
      </c>
      <c r="L325" s="13" t="n"/>
    </row>
    <row r="326">
      <c r="A326" s="3" t="inlineStr">
        <is>
          <t>OutboundTrainPreparation</t>
        </is>
      </c>
      <c r="B326" s="3" t="inlineStr">
        <is>
          <t>Act_OBTP_OBT070125065726-Vienna_065726_605</t>
        </is>
      </c>
      <c r="C326" s="3" t="inlineStr">
        <is>
          <t>OBT070125065726-Vienna</t>
        </is>
      </c>
      <c r="D326" s="9" t="n">
        <v>144</v>
      </c>
      <c r="E326" s="3" t="n"/>
      <c r="F326" s="3" t="n"/>
      <c r="G326" s="9" t="n"/>
      <c r="H326" s="10" t="n">
        <v>45664.28988425926</v>
      </c>
      <c r="I326" s="10" t="n">
        <v>45664.31993055555</v>
      </c>
      <c r="J326" s="10" t="n">
        <v>45664.34493055556</v>
      </c>
      <c r="K326" s="11" t="n">
        <v>0.025</v>
      </c>
      <c r="L326" s="13" t="n"/>
    </row>
    <row r="327">
      <c r="A327" s="3" t="inlineStr">
        <is>
          <t>OutboundTrainPreparation</t>
        </is>
      </c>
      <c r="B327" s="3" t="inlineStr">
        <is>
          <t>Act_OBTP_OBT070125070322-Graz_070322_627</t>
        </is>
      </c>
      <c r="C327" s="3" t="inlineStr">
        <is>
          <t>OBT070125070322-Graz</t>
        </is>
      </c>
      <c r="D327" s="9" t="n">
        <v>112</v>
      </c>
      <c r="E327" s="3" t="n"/>
      <c r="F327" s="3" t="n"/>
      <c r="G327" s="9" t="n"/>
      <c r="H327" s="10" t="n">
        <v>45664.29400462963</v>
      </c>
      <c r="I327" s="10" t="n">
        <v>45664.32109953704</v>
      </c>
      <c r="J327" s="10" t="n">
        <v>45664.34054398148</v>
      </c>
      <c r="K327" s="11" t="n">
        <v>0.01944444444444444</v>
      </c>
      <c r="L327" s="13" t="n"/>
    </row>
    <row r="328">
      <c r="A328" s="3" t="inlineStr">
        <is>
          <t>OutboundTrainPreparation</t>
        </is>
      </c>
      <c r="B328" s="3" t="inlineStr">
        <is>
          <t>Act_OBTP_OBT070125073416-Graz_073416_606</t>
        </is>
      </c>
      <c r="C328" s="3" t="inlineStr">
        <is>
          <t>OBT070125073416-Graz</t>
        </is>
      </c>
      <c r="D328" s="9" t="n">
        <v>144</v>
      </c>
      <c r="E328" s="3" t="n"/>
      <c r="F328" s="3" t="n"/>
      <c r="G328" s="9" t="n"/>
      <c r="H328" s="10" t="n">
        <v>45664.31546296296</v>
      </c>
      <c r="I328" s="10" t="n">
        <v>45664.32537037037</v>
      </c>
      <c r="J328" s="10" t="n">
        <v>45664.35037037037</v>
      </c>
      <c r="K328" s="11" t="n">
        <v>0.025</v>
      </c>
      <c r="L328" s="13" t="n"/>
    </row>
    <row r="329">
      <c r="A329" s="3" t="inlineStr">
        <is>
          <t>OutboundTrainPreparation</t>
        </is>
      </c>
      <c r="B329" s="3" t="inlineStr">
        <is>
          <t>Act_OBTP_OBT070125074604-Salzburg_074604_623</t>
        </is>
      </c>
      <c r="C329" s="3" t="inlineStr">
        <is>
          <t>OBT070125074604-Salzburg</t>
        </is>
      </c>
      <c r="D329" s="9" t="n">
        <v>144</v>
      </c>
      <c r="E329" s="3" t="n"/>
      <c r="F329" s="3" t="n"/>
      <c r="G329" s="9" t="n"/>
      <c r="H329" s="10" t="n">
        <v>45664.32365740741</v>
      </c>
      <c r="I329" s="10" t="n">
        <v>45664.34228009259</v>
      </c>
      <c r="J329" s="10" t="n">
        <v>45664.36728009259</v>
      </c>
      <c r="K329" s="11" t="n">
        <v>0.025</v>
      </c>
      <c r="L329" s="13" t="n"/>
    </row>
    <row r="330">
      <c r="A330" s="3" t="inlineStr">
        <is>
          <t>OutboundTrainPreparation</t>
        </is>
      </c>
      <c r="B330" s="3" t="inlineStr">
        <is>
          <t>Act_OBTP_OBT070125133255-Linz_133255_615</t>
        </is>
      </c>
      <c r="C330" s="3" t="inlineStr">
        <is>
          <t>OBT070125133255-Linz</t>
        </is>
      </c>
      <c r="D330" s="9" t="n">
        <v>128</v>
      </c>
      <c r="E330" s="3" t="n"/>
      <c r="F330" s="3" t="n"/>
      <c r="G330" s="9" t="n"/>
      <c r="H330" s="10" t="n">
        <v>45664.56452546296</v>
      </c>
      <c r="I330" s="10" t="n">
        <v>45664.56537037037</v>
      </c>
      <c r="J330" s="10" t="n">
        <v>45664.58759259259</v>
      </c>
      <c r="K330" s="11" t="n">
        <v>0.02222222222222222</v>
      </c>
      <c r="L330" s="13" t="n"/>
    </row>
    <row r="331">
      <c r="A331" s="3" t="inlineStr">
        <is>
          <t>OutboundTrainPreparation</t>
        </is>
      </c>
      <c r="B331" s="3" t="inlineStr">
        <is>
          <t>Act_OBTP_OBT070125170022-Vienna_170022_619</t>
        </is>
      </c>
      <c r="C331" s="3" t="inlineStr">
        <is>
          <t>OBT070125170022-Vienna</t>
        </is>
      </c>
      <c r="D331" s="9" t="n">
        <v>176</v>
      </c>
      <c r="E331" s="3" t="n"/>
      <c r="F331" s="3" t="n"/>
      <c r="G331" s="9" t="n"/>
      <c r="H331" s="10" t="n">
        <v>45664.70858796296</v>
      </c>
      <c r="I331" s="10" t="n">
        <v>45664.70945601852</v>
      </c>
      <c r="J331" s="10" t="n">
        <v>45664.74001157407</v>
      </c>
      <c r="K331" s="11" t="n">
        <v>0.03055555555555555</v>
      </c>
      <c r="L331" s="13" t="n"/>
    </row>
    <row r="332">
      <c r="A332" s="3" t="inlineStr">
        <is>
          <t>OutboundTrainPreparation</t>
        </is>
      </c>
      <c r="B332" s="3" t="inlineStr">
        <is>
          <t>Act_OBTP_OBT080125061351-Vienna_061351_613</t>
        </is>
      </c>
      <c r="C332" s="3" t="inlineStr">
        <is>
          <t>OBT080125061351-Vienna</t>
        </is>
      </c>
      <c r="D332" s="9" t="n">
        <v>128</v>
      </c>
      <c r="E332" s="3" t="n"/>
      <c r="F332" s="3" t="n"/>
      <c r="G332" s="9" t="n"/>
      <c r="H332" s="10" t="n">
        <v>45665.25961805556</v>
      </c>
      <c r="I332" s="10" t="n">
        <v>45665.26048611111</v>
      </c>
      <c r="J332" s="10" t="n">
        <v>45665.28270833333</v>
      </c>
      <c r="K332" s="11" t="n">
        <v>0.02222222222222222</v>
      </c>
      <c r="L332" s="13" t="n"/>
    </row>
    <row r="333">
      <c r="A333" s="3" t="inlineStr">
        <is>
          <t>OutboundTrainPreparation</t>
        </is>
      </c>
      <c r="B333" s="3" t="inlineStr">
        <is>
          <t>Act_OBTP_OBT080125061853-Salzburg_061853_615</t>
        </is>
      </c>
      <c r="C333" s="3" t="inlineStr">
        <is>
          <t>OBT080125061853-Salzburg</t>
        </is>
      </c>
      <c r="D333" s="9" t="n">
        <v>128</v>
      </c>
      <c r="E333" s="3" t="n"/>
      <c r="F333" s="3" t="n"/>
      <c r="G333" s="9" t="n"/>
      <c r="H333" s="10" t="n">
        <v>45665.26311342593</v>
      </c>
      <c r="I333" s="10" t="n">
        <v>45665.26398148148</v>
      </c>
      <c r="J333" s="10" t="n">
        <v>45665.2862037037</v>
      </c>
      <c r="K333" s="11" t="n">
        <v>0.02222222222222222</v>
      </c>
      <c r="L333" s="13" t="n"/>
    </row>
    <row r="334">
      <c r="A334" s="3" t="inlineStr">
        <is>
          <t>OutboundTrainPreparation</t>
        </is>
      </c>
      <c r="B334" s="3" t="inlineStr">
        <is>
          <t>Act_OBTP_OBT080125094940-Budapest_094940_625</t>
        </is>
      </c>
      <c r="C334" s="3" t="inlineStr">
        <is>
          <t>OBT080125094940-Budapest</t>
        </is>
      </c>
      <c r="D334" s="9" t="n">
        <v>176</v>
      </c>
      <c r="E334" s="3" t="n"/>
      <c r="F334" s="3" t="n"/>
      <c r="G334" s="9" t="n"/>
      <c r="H334" s="10" t="n">
        <v>45665.40949074074</v>
      </c>
      <c r="I334" s="10" t="n">
        <v>45665.4103587963</v>
      </c>
      <c r="J334" s="10" t="n">
        <v>45665.44091435185</v>
      </c>
      <c r="K334" s="11" t="n">
        <v>0.03055555555555555</v>
      </c>
      <c r="L334" s="13" t="n"/>
    </row>
    <row r="335">
      <c r="A335" s="3" t="inlineStr">
        <is>
          <t>OutboundTrainPreparation</t>
        </is>
      </c>
      <c r="B335" s="3" t="inlineStr">
        <is>
          <t>Act_OBTP_OBT080125095423-Graz_095423_605</t>
        </is>
      </c>
      <c r="C335" s="3" t="inlineStr">
        <is>
          <t>OBT080125095423-Graz</t>
        </is>
      </c>
      <c r="D335" s="9" t="n">
        <v>240</v>
      </c>
      <c r="E335" s="3" t="n"/>
      <c r="F335" s="3" t="n"/>
      <c r="G335" s="9" t="n"/>
      <c r="H335" s="10" t="n">
        <v>45665.41276620371</v>
      </c>
      <c r="I335" s="10" t="n">
        <v>45665.41447916667</v>
      </c>
      <c r="J335" s="10" t="n">
        <v>45665.45614583333</v>
      </c>
      <c r="K335" s="11" t="n">
        <v>0.04166666666666666</v>
      </c>
      <c r="L335" s="13" t="n"/>
    </row>
    <row r="336">
      <c r="A336" s="3" t="inlineStr">
        <is>
          <t>OutboundTrainPreparation</t>
        </is>
      </c>
      <c r="B336" s="3" t="inlineStr">
        <is>
          <t>Act_OBTP_OBT080125101213-Vienna_101213_623</t>
        </is>
      </c>
      <c r="C336" s="3" t="inlineStr">
        <is>
          <t>OBT080125101213-Vienna</t>
        </is>
      </c>
      <c r="D336" s="9" t="n">
        <v>160</v>
      </c>
      <c r="E336" s="3" t="n"/>
      <c r="F336" s="3" t="n"/>
      <c r="G336" s="9" t="n"/>
      <c r="H336" s="10" t="n">
        <v>45665.42515046296</v>
      </c>
      <c r="I336" s="10" t="n">
        <v>45665.42962962963</v>
      </c>
      <c r="J336" s="10" t="n">
        <v>45665.4574074074</v>
      </c>
      <c r="K336" s="11" t="n">
        <v>0.02777777777777778</v>
      </c>
      <c r="L336" s="13" t="n"/>
    </row>
    <row r="337">
      <c r="A337" s="3" t="inlineStr">
        <is>
          <t>OutboundTrainPreparation</t>
        </is>
      </c>
      <c r="B337" s="3" t="inlineStr">
        <is>
          <t>Act_OBTP_OBT080125101621-Graz_101621_619</t>
        </is>
      </c>
      <c r="C337" s="3" t="inlineStr">
        <is>
          <t>OBT080125101621-Graz</t>
        </is>
      </c>
      <c r="D337" s="9" t="n">
        <v>160</v>
      </c>
      <c r="E337" s="3" t="n"/>
      <c r="F337" s="3" t="n"/>
      <c r="G337" s="9" t="n"/>
      <c r="H337" s="10" t="n">
        <v>45665.42802083334</v>
      </c>
      <c r="I337" s="10" t="n">
        <v>45665.4578587963</v>
      </c>
      <c r="J337" s="10" t="n">
        <v>45665.48563657407</v>
      </c>
      <c r="K337" s="11" t="n">
        <v>0.02777777777777778</v>
      </c>
      <c r="L337" s="13" t="n"/>
    </row>
    <row r="338">
      <c r="A338" s="3" t="inlineStr">
        <is>
          <t>OutboundTrainPreparation</t>
        </is>
      </c>
      <c r="B338" s="3" t="inlineStr">
        <is>
          <t>Act_OBTP_OBT080125111223-Budapest_111223_613</t>
        </is>
      </c>
      <c r="C338" s="3" t="inlineStr">
        <is>
          <t>OBT080125111223-Budapest</t>
        </is>
      </c>
      <c r="D338" s="9" t="n">
        <v>208</v>
      </c>
      <c r="E338" s="3" t="n"/>
      <c r="F338" s="3" t="n"/>
      <c r="G338" s="9" t="n"/>
      <c r="H338" s="10" t="n">
        <v>45665.46693287037</v>
      </c>
      <c r="I338" s="10" t="n">
        <v>45665.46776620371</v>
      </c>
      <c r="J338" s="10" t="n">
        <v>45665.50387731481</v>
      </c>
      <c r="K338" s="11" t="n">
        <v>0.03611111111111111</v>
      </c>
      <c r="L338" s="13" t="n"/>
    </row>
    <row r="339">
      <c r="A339" s="3" t="inlineStr">
        <is>
          <t>OutboundTrainPreparation</t>
        </is>
      </c>
      <c r="B339" s="3" t="inlineStr">
        <is>
          <t>Act_OBTP_OBT080125144107-Salzburg_144107_606</t>
        </is>
      </c>
      <c r="C339" s="3" t="inlineStr">
        <is>
          <t>OBT080125144107-Salzburg</t>
        </is>
      </c>
      <c r="D339" s="9" t="n">
        <v>128</v>
      </c>
      <c r="E339" s="3" t="n"/>
      <c r="F339" s="3" t="n"/>
      <c r="G339" s="9" t="n"/>
      <c r="H339" s="10" t="n">
        <v>45665.61188657407</v>
      </c>
      <c r="I339" s="10" t="n">
        <v>45665.61273148148</v>
      </c>
      <c r="J339" s="10" t="n">
        <v>45665.6349537037</v>
      </c>
      <c r="K339" s="11" t="n">
        <v>0.02222222222222222</v>
      </c>
      <c r="L339" s="13" t="n"/>
    </row>
    <row r="340">
      <c r="A340" s="3" t="inlineStr">
        <is>
          <t>OutboundTrainPreparation</t>
        </is>
      </c>
      <c r="B340" s="3" t="inlineStr">
        <is>
          <t>Act_OBTP_OBT080125145710-Innsbruck_145710_615</t>
        </is>
      </c>
      <c r="C340" s="3" t="inlineStr">
        <is>
          <t>OBT080125145710-Innsbruck</t>
        </is>
      </c>
      <c r="D340" s="9" t="n">
        <v>144</v>
      </c>
      <c r="E340" s="3" t="n"/>
      <c r="F340" s="3" t="n"/>
      <c r="G340" s="9" t="n"/>
      <c r="H340" s="10" t="n">
        <v>45665.62303240741</v>
      </c>
      <c r="I340" s="10" t="n">
        <v>45665.62390046296</v>
      </c>
      <c r="J340" s="10" t="n">
        <v>45665.64890046296</v>
      </c>
      <c r="K340" s="11" t="n">
        <v>0.025</v>
      </c>
      <c r="L340" s="13" t="n"/>
    </row>
    <row r="341">
      <c r="A341" s="3" t="inlineStr">
        <is>
          <t>OutboundTrainPreparation</t>
        </is>
      </c>
      <c r="B341" s="3" t="inlineStr">
        <is>
          <t>Act_OBTP_OBT080125183013-Graz_183013_615</t>
        </is>
      </c>
      <c r="C341" s="3" t="inlineStr">
        <is>
          <t>OBT080125183013-Graz</t>
        </is>
      </c>
      <c r="D341" s="9" t="n">
        <v>112</v>
      </c>
      <c r="E341" s="3" t="n"/>
      <c r="F341" s="3" t="n"/>
      <c r="G341" s="9" t="n"/>
      <c r="H341" s="10" t="n">
        <v>45665.7709837963</v>
      </c>
      <c r="I341" s="10" t="n">
        <v>45665.77182870371</v>
      </c>
      <c r="J341" s="10" t="n">
        <v>45665.79127314815</v>
      </c>
      <c r="K341" s="11" t="n">
        <v>0.01944444444444444</v>
      </c>
      <c r="L341" s="13" t="n"/>
    </row>
    <row r="342">
      <c r="A342" s="3" t="inlineStr">
        <is>
          <t>OutboundTrainPreparation</t>
        </is>
      </c>
      <c r="B342" s="3" t="inlineStr">
        <is>
          <t>Act_OBTP_OBT080125222429-Budapest_222429_615</t>
        </is>
      </c>
      <c r="C342" s="3" t="inlineStr">
        <is>
          <t>OBT080125222429-Budapest</t>
        </is>
      </c>
      <c r="D342" s="9" t="n">
        <v>256</v>
      </c>
      <c r="E342" s="3" t="n"/>
      <c r="F342" s="3" t="n"/>
      <c r="G342" s="9" t="n"/>
      <c r="H342" s="10" t="n">
        <v>45665.93366898148</v>
      </c>
      <c r="I342" s="10" t="n">
        <v>45665.93450231481</v>
      </c>
      <c r="J342" s="10" t="n">
        <v>45665.97894675926</v>
      </c>
      <c r="K342" s="11" t="n">
        <v>0.04444444444444445</v>
      </c>
      <c r="L342" s="13" t="n"/>
    </row>
    <row r="343">
      <c r="A343" s="3" t="inlineStr">
        <is>
          <t>OutboundTrainPreparation</t>
        </is>
      </c>
      <c r="B343" s="3" t="inlineStr">
        <is>
          <t>Act_OBTP_OBT090125054651-Salzburg_054651_615</t>
        </is>
      </c>
      <c r="C343" s="3" t="inlineStr">
        <is>
          <t>OBT090125054651-Salzburg</t>
        </is>
      </c>
      <c r="D343" s="9" t="n">
        <v>144</v>
      </c>
      <c r="E343" s="3" t="n"/>
      <c r="F343" s="3" t="n"/>
      <c r="G343" s="9" t="n"/>
      <c r="H343" s="10" t="n">
        <v>45666.24086805555</v>
      </c>
      <c r="I343" s="10" t="n">
        <v>45666.24256944445</v>
      </c>
      <c r="J343" s="10" t="n">
        <v>45666.26756944445</v>
      </c>
      <c r="K343" s="11" t="n">
        <v>0.025</v>
      </c>
      <c r="L343" s="13" t="n"/>
    </row>
    <row r="344">
      <c r="A344" s="3" t="inlineStr">
        <is>
          <t>OutboundTrainPreparation</t>
        </is>
      </c>
      <c r="B344" s="3" t="inlineStr">
        <is>
          <t>Act_OBTP_OBT090125055020-Vienna_055020_625</t>
        </is>
      </c>
      <c r="C344" s="3" t="inlineStr">
        <is>
          <t>OBT090125055020-Vienna</t>
        </is>
      </c>
      <c r="D344" s="9" t="n">
        <v>176</v>
      </c>
      <c r="E344" s="3" t="n"/>
      <c r="F344" s="3" t="n"/>
      <c r="G344" s="9" t="n"/>
      <c r="H344" s="10" t="n">
        <v>45666.24328703704</v>
      </c>
      <c r="I344" s="10" t="n">
        <v>45666.24574074074</v>
      </c>
      <c r="J344" s="10" t="n">
        <v>45666.2762962963</v>
      </c>
      <c r="K344" s="11" t="n">
        <v>0.03055555555555555</v>
      </c>
      <c r="L344" s="13" t="n"/>
    </row>
    <row r="345">
      <c r="A345" s="3" t="inlineStr">
        <is>
          <t>OutboundTrainPreparation</t>
        </is>
      </c>
      <c r="B345" s="3" t="inlineStr">
        <is>
          <t>Act_OBTP_OBT090125062427-Graz_062427_605</t>
        </is>
      </c>
      <c r="C345" s="3" t="inlineStr">
        <is>
          <t>OBT090125062427-Graz</t>
        </is>
      </c>
      <c r="D345" s="9" t="n">
        <v>224</v>
      </c>
      <c r="E345" s="3" t="n"/>
      <c r="F345" s="3" t="n"/>
      <c r="G345" s="9" t="n"/>
      <c r="H345" s="10" t="n">
        <v>45666.26697916666</v>
      </c>
      <c r="I345" s="10" t="n">
        <v>45666.27815972222</v>
      </c>
      <c r="J345" s="10" t="n">
        <v>45666.31704861111</v>
      </c>
      <c r="K345" s="11" t="n">
        <v>0.03888888888888889</v>
      </c>
      <c r="L345" s="13" t="n"/>
    </row>
    <row r="346">
      <c r="A346" s="3" t="inlineStr">
        <is>
          <t>OutboundTrainPreparation</t>
        </is>
      </c>
      <c r="B346" s="3" t="inlineStr">
        <is>
          <t>Act_OBTP_OBT090125062930-Linz_062930_613</t>
        </is>
      </c>
      <c r="C346" s="3" t="inlineStr">
        <is>
          <t>OBT090125062930-Linz</t>
        </is>
      </c>
      <c r="D346" s="9" t="n">
        <v>240</v>
      </c>
      <c r="E346" s="3" t="n"/>
      <c r="F346" s="3" t="n"/>
      <c r="G346" s="9" t="n"/>
      <c r="H346" s="10" t="n">
        <v>45666.27048611111</v>
      </c>
      <c r="I346" s="10" t="n">
        <v>45666.28016203704</v>
      </c>
      <c r="J346" s="10" t="n">
        <v>45666.3218287037</v>
      </c>
      <c r="K346" s="11" t="n">
        <v>0.04166666666666666</v>
      </c>
      <c r="L346" s="13" t="n"/>
    </row>
    <row r="347">
      <c r="A347" s="3" t="inlineStr">
        <is>
          <t>OutboundTrainPreparation</t>
        </is>
      </c>
      <c r="B347" s="3" t="inlineStr">
        <is>
          <t>Act_OBTP_OBT090125064941-Vienna_064941_607</t>
        </is>
      </c>
      <c r="C347" s="3" t="inlineStr">
        <is>
          <t>OBT090125064941-Vienna</t>
        </is>
      </c>
      <c r="D347" s="9" t="n">
        <v>128</v>
      </c>
      <c r="E347" s="3" t="n"/>
      <c r="F347" s="3" t="n"/>
      <c r="G347" s="9" t="n"/>
      <c r="H347" s="10" t="n">
        <v>45666.28450231482</v>
      </c>
      <c r="I347" s="10" t="n">
        <v>45666.28721064814</v>
      </c>
      <c r="J347" s="10" t="n">
        <v>45666.30943287037</v>
      </c>
      <c r="K347" s="11" t="n">
        <v>0.02222222222222222</v>
      </c>
      <c r="L347" s="13" t="n"/>
    </row>
    <row r="348">
      <c r="A348" s="3" t="inlineStr">
        <is>
          <t>OutboundTrainPreparation</t>
        </is>
      </c>
      <c r="B348" s="3" t="inlineStr">
        <is>
          <t>Act_OBTP_OBT090125065110-Vienna_065110_623</t>
        </is>
      </c>
      <c r="C348" s="3" t="inlineStr">
        <is>
          <t>OBT090125065110-Vienna</t>
        </is>
      </c>
      <c r="D348" s="9" t="n">
        <v>160</v>
      </c>
      <c r="E348" s="3" t="n"/>
      <c r="F348" s="3" t="n"/>
      <c r="G348" s="9" t="n"/>
      <c r="H348" s="10" t="n">
        <v>45666.2855324074</v>
      </c>
      <c r="I348" s="10" t="n">
        <v>45666.31111111111</v>
      </c>
      <c r="J348" s="10" t="n">
        <v>45666.33888888889</v>
      </c>
      <c r="K348" s="11" t="n">
        <v>0.02777777777777778</v>
      </c>
      <c r="L348" s="13" t="n"/>
    </row>
    <row r="349">
      <c r="A349" s="3" t="inlineStr">
        <is>
          <t>OutboundTrainPreparation</t>
        </is>
      </c>
      <c r="B349" s="3" t="inlineStr">
        <is>
          <t>Act_OBTP_OBT090125113246-Budapest_113246_615</t>
        </is>
      </c>
      <c r="C349" s="3" t="inlineStr">
        <is>
          <t>OBT090125113246-Budapest</t>
        </is>
      </c>
      <c r="D349" s="9" t="n">
        <v>128</v>
      </c>
      <c r="E349" s="3" t="n"/>
      <c r="F349" s="3" t="n"/>
      <c r="G349" s="9" t="n"/>
      <c r="H349" s="10" t="n">
        <v>45666.48108796297</v>
      </c>
      <c r="I349" s="10" t="n">
        <v>45666.48195601852</v>
      </c>
      <c r="J349" s="10" t="n">
        <v>45666.50417824074</v>
      </c>
      <c r="K349" s="11" t="n">
        <v>0.02222222222222222</v>
      </c>
      <c r="L349" s="13" t="n"/>
    </row>
    <row r="350">
      <c r="A350" s="3" t="inlineStr">
        <is>
          <t>OutboundTrainPreparation</t>
        </is>
      </c>
      <c r="B350" s="3" t="inlineStr">
        <is>
          <t>Act_OBTP_OBT090125114855-Salzburg_114855_613</t>
        </is>
      </c>
      <c r="C350" s="3" t="inlineStr">
        <is>
          <t>OBT090125114855-Salzburg</t>
        </is>
      </c>
      <c r="D350" s="9" t="n">
        <v>208</v>
      </c>
      <c r="E350" s="3" t="n"/>
      <c r="F350" s="3" t="n"/>
      <c r="G350" s="9" t="n"/>
      <c r="H350" s="10" t="n">
        <v>45666.49230324074</v>
      </c>
      <c r="I350" s="10" t="n">
        <v>45666.49313657408</v>
      </c>
      <c r="J350" s="10" t="n">
        <v>45666.52924768518</v>
      </c>
      <c r="K350" s="11" t="n">
        <v>0.03611111111111111</v>
      </c>
      <c r="L350" s="13" t="n"/>
    </row>
    <row r="351">
      <c r="A351" s="3" t="inlineStr">
        <is>
          <t>OutboundTrainPreparation</t>
        </is>
      </c>
      <c r="B351" s="3" t="inlineStr">
        <is>
          <t>Act_OBTP_OBT090125133851-Graz_133851_619</t>
        </is>
      </c>
      <c r="C351" s="3" t="inlineStr">
        <is>
          <t>OBT090125133851-Graz</t>
        </is>
      </c>
      <c r="D351" s="9" t="n">
        <v>144</v>
      </c>
      <c r="E351" s="3" t="n"/>
      <c r="F351" s="3" t="n"/>
      <c r="G351" s="9" t="n"/>
      <c r="H351" s="10" t="n">
        <v>45666.56864583334</v>
      </c>
      <c r="I351" s="10" t="n">
        <v>45666.56949074074</v>
      </c>
      <c r="J351" s="10" t="n">
        <v>45666.59449074074</v>
      </c>
      <c r="K351" s="11" t="n">
        <v>0.025</v>
      </c>
      <c r="L351" s="13" t="n"/>
    </row>
    <row r="352">
      <c r="A352" s="3" t="inlineStr">
        <is>
          <t>OutboundTrainPreparation</t>
        </is>
      </c>
      <c r="B352" s="3" t="inlineStr">
        <is>
          <t>Act_OBTP_OBT090125134430-Vienna_134430_615</t>
        </is>
      </c>
      <c r="C352" s="3" t="inlineStr">
        <is>
          <t>OBT090125134430-Vienna</t>
        </is>
      </c>
      <c r="D352" s="9" t="n">
        <v>176</v>
      </c>
      <c r="E352" s="3" t="n"/>
      <c r="F352" s="3" t="n"/>
      <c r="G352" s="9" t="n"/>
      <c r="H352" s="10" t="n">
        <v>45666.57256944444</v>
      </c>
      <c r="I352" s="10" t="n">
        <v>45666.57422453703</v>
      </c>
      <c r="J352" s="10" t="n">
        <v>45666.6047800926</v>
      </c>
      <c r="K352" s="11" t="n">
        <v>0.03055555555555555</v>
      </c>
      <c r="L352" s="13" t="n"/>
    </row>
    <row r="353">
      <c r="A353" s="3" t="inlineStr">
        <is>
          <t>OutboundTrainPreparation</t>
        </is>
      </c>
      <c r="B353" s="3" t="inlineStr">
        <is>
          <t>Act_OBTP_OBT090125134651-Budapest_134651_613</t>
        </is>
      </c>
      <c r="C353" s="3" t="inlineStr">
        <is>
          <t>OBT090125134651-Budapest</t>
        </is>
      </c>
      <c r="D353" s="9" t="n">
        <v>208</v>
      </c>
      <c r="E353" s="3" t="n"/>
      <c r="F353" s="3" t="n"/>
      <c r="G353" s="9" t="n"/>
      <c r="H353" s="10" t="n">
        <v>45666.57420138889</v>
      </c>
      <c r="I353" s="10" t="n">
        <v>45666.59717592593</v>
      </c>
      <c r="J353" s="10" t="n">
        <v>45666.63328703704</v>
      </c>
      <c r="K353" s="11" t="n">
        <v>0.03611111111111111</v>
      </c>
      <c r="L353" s="13" t="n"/>
    </row>
    <row r="354">
      <c r="A354" s="3" t="inlineStr">
        <is>
          <t>OutboundTrainPreparation</t>
        </is>
      </c>
      <c r="B354" s="3" t="inlineStr">
        <is>
          <t>Act_OBTP_OBT090125135236-Linz_135236_625</t>
        </is>
      </c>
      <c r="C354" s="3" t="inlineStr">
        <is>
          <t>OBT090125135236-Linz</t>
        </is>
      </c>
      <c r="D354" s="9" t="n">
        <v>112</v>
      </c>
      <c r="E354" s="3" t="n"/>
      <c r="F354" s="3" t="n"/>
      <c r="G354" s="9" t="n"/>
      <c r="H354" s="10" t="n">
        <v>45666.57819444445</v>
      </c>
      <c r="I354" s="10" t="n">
        <v>45666.60576388889</v>
      </c>
      <c r="J354" s="10" t="n">
        <v>45666.62520833333</v>
      </c>
      <c r="K354" s="11" t="n">
        <v>0.01944444444444444</v>
      </c>
      <c r="L354" s="13" t="n"/>
    </row>
    <row r="355">
      <c r="A355" s="3" t="inlineStr">
        <is>
          <t>OutboundTrainPreparation</t>
        </is>
      </c>
      <c r="B355" s="3" t="inlineStr">
        <is>
          <t>Act_OBTP_OBT090125141313-Ljubljana_141313_607</t>
        </is>
      </c>
      <c r="C355" s="3" t="inlineStr">
        <is>
          <t>OBT090125141313-Ljubljana</t>
        </is>
      </c>
      <c r="D355" s="9" t="n">
        <v>112</v>
      </c>
      <c r="E355" s="3" t="n"/>
      <c r="F355" s="3" t="n"/>
      <c r="G355" s="9" t="n"/>
      <c r="H355" s="10" t="n">
        <v>45666.59251157408</v>
      </c>
      <c r="I355" s="10" t="n">
        <v>45666.6065162037</v>
      </c>
      <c r="J355" s="10" t="n">
        <v>45666.62596064815</v>
      </c>
      <c r="K355" s="11" t="n">
        <v>0.01944444444444444</v>
      </c>
      <c r="L355" s="13" t="n"/>
    </row>
    <row r="356">
      <c r="A356" s="3" t="inlineStr">
        <is>
          <t>OutboundTrainPreparation</t>
        </is>
      </c>
      <c r="B356" s="3" t="inlineStr">
        <is>
          <t>Act_OBTP_OBT090125142902-Graz_142902_609</t>
        </is>
      </c>
      <c r="C356" s="3" t="inlineStr">
        <is>
          <t>OBT090125142902-Graz</t>
        </is>
      </c>
      <c r="D356" s="9" t="n">
        <v>128</v>
      </c>
      <c r="E356" s="3" t="n"/>
      <c r="F356" s="3" t="n"/>
      <c r="G356" s="9" t="n"/>
      <c r="H356" s="10" t="n">
        <v>45666.60349537037</v>
      </c>
      <c r="I356" s="10" t="n">
        <v>45666.62694444445</v>
      </c>
      <c r="J356" s="10" t="n">
        <v>45666.64916666667</v>
      </c>
      <c r="K356" s="11" t="n">
        <v>0.02222222222222222</v>
      </c>
      <c r="L356" s="13" t="n"/>
    </row>
    <row r="357">
      <c r="A357" s="3" t="inlineStr">
        <is>
          <t>OutboundTrainPreparation</t>
        </is>
      </c>
      <c r="B357" s="3" t="inlineStr">
        <is>
          <t>Act_OBTP_OBT090125142948-Vienna_142948_623</t>
        </is>
      </c>
      <c r="C357" s="3" t="inlineStr">
        <is>
          <t>OBT090125142948-Vienna</t>
        </is>
      </c>
      <c r="D357" s="9" t="n">
        <v>144</v>
      </c>
      <c r="E357" s="3" t="n"/>
      <c r="F357" s="3" t="n"/>
      <c r="G357" s="9" t="n"/>
      <c r="H357" s="10" t="n">
        <v>45666.60402777778</v>
      </c>
      <c r="I357" s="10" t="n">
        <v>45666.62769675926</v>
      </c>
      <c r="J357" s="10" t="n">
        <v>45666.65269675926</v>
      </c>
      <c r="K357" s="11" t="n">
        <v>0.025</v>
      </c>
      <c r="L357" s="13" t="n"/>
    </row>
    <row r="358">
      <c r="A358" s="3" t="inlineStr">
        <is>
          <t>OutboundTrainPreparation</t>
        </is>
      </c>
      <c r="B358" s="3" t="inlineStr">
        <is>
          <t>Act_OBTP_OBT090125193547-Budapest_193547_615</t>
        </is>
      </c>
      <c r="C358" s="3" t="inlineStr">
        <is>
          <t>OBT090125193547-Budapest</t>
        </is>
      </c>
      <c r="D358" s="9" t="n">
        <v>144</v>
      </c>
      <c r="E358" s="3" t="n"/>
      <c r="F358" s="3" t="n"/>
      <c r="G358" s="9" t="n"/>
      <c r="H358" s="10" t="n">
        <v>45666.8165162037</v>
      </c>
      <c r="I358" s="10" t="n">
        <v>45666.81737268518</v>
      </c>
      <c r="J358" s="10" t="n">
        <v>45666.84237268518</v>
      </c>
      <c r="K358" s="11" t="n">
        <v>0.025</v>
      </c>
      <c r="L358" s="13" t="n"/>
    </row>
    <row r="359">
      <c r="A359" s="3" t="inlineStr">
        <is>
          <t>OutboundTrainPreparation</t>
        </is>
      </c>
      <c r="B359" s="3" t="inlineStr">
        <is>
          <t>Act_OBTP_OBT090125194448-Vienna_194448_613</t>
        </is>
      </c>
      <c r="C359" s="3" t="inlineStr">
        <is>
          <t>OBT090125194448-Vienna</t>
        </is>
      </c>
      <c r="D359" s="9" t="n">
        <v>176</v>
      </c>
      <c r="E359" s="3" t="n"/>
      <c r="F359" s="3" t="n"/>
      <c r="G359" s="9" t="n"/>
      <c r="H359" s="10" t="n">
        <v>45666.82277777778</v>
      </c>
      <c r="I359" s="10" t="n">
        <v>45666.82364583333</v>
      </c>
      <c r="J359" s="10" t="n">
        <v>45666.85420138889</v>
      </c>
      <c r="K359" s="11" t="n">
        <v>0.03055555555555555</v>
      </c>
      <c r="L359" s="13" t="n"/>
    </row>
    <row r="360">
      <c r="A360" s="3" t="inlineStr">
        <is>
          <t>OutboundTrainPreparation</t>
        </is>
      </c>
      <c r="B360" s="3" t="inlineStr">
        <is>
          <t>Act_OBTP_OBT090125232040-Salzburg_232040_605</t>
        </is>
      </c>
      <c r="C360" s="3" t="inlineStr">
        <is>
          <t>OBT090125232040-Salzburg</t>
        </is>
      </c>
      <c r="D360" s="9" t="n">
        <v>192</v>
      </c>
      <c r="E360" s="3" t="n"/>
      <c r="F360" s="3" t="n"/>
      <c r="G360" s="9" t="n"/>
      <c r="H360" s="10" t="n">
        <v>45666.97268518519</v>
      </c>
      <c r="I360" s="10" t="n">
        <v>45666.97355324074</v>
      </c>
      <c r="J360" s="10" t="n">
        <v>45667.00688657408</v>
      </c>
      <c r="K360" s="11" t="n">
        <v>0.03333333333333333</v>
      </c>
      <c r="L360" s="13" t="n"/>
    </row>
    <row r="361">
      <c r="A361" s="3" t="inlineStr">
        <is>
          <t>OutboundTrainPreparation</t>
        </is>
      </c>
      <c r="B361" s="3" t="inlineStr">
        <is>
          <t>Act_OBTP_OBT100125080623-Klagenfurt_080623_627</t>
        </is>
      </c>
      <c r="C361" s="3" t="inlineStr">
        <is>
          <t>OBT100125080623-Klagenfurt</t>
        </is>
      </c>
      <c r="D361" s="9" t="n">
        <v>128</v>
      </c>
      <c r="E361" s="3" t="n"/>
      <c r="F361" s="3" t="n"/>
      <c r="G361" s="9" t="n"/>
      <c r="H361" s="10" t="n">
        <v>45667.3377662037</v>
      </c>
      <c r="I361" s="10" t="n">
        <v>45667.33863425926</v>
      </c>
      <c r="J361" s="10" t="n">
        <v>45667.36085648148</v>
      </c>
      <c r="K361" s="11" t="n">
        <v>0.02222222222222222</v>
      </c>
      <c r="L361" s="13" t="n"/>
    </row>
    <row r="362">
      <c r="A362" s="3" t="inlineStr">
        <is>
          <t>OutboundTrainPreparation</t>
        </is>
      </c>
      <c r="B362" s="3" t="inlineStr">
        <is>
          <t>Act_OBTP_OBT100125093309-Graz_093309_615</t>
        </is>
      </c>
      <c r="C362" s="3" t="inlineStr">
        <is>
          <t>OBT100125093309-Graz</t>
        </is>
      </c>
      <c r="D362" s="9" t="n">
        <v>144</v>
      </c>
      <c r="E362" s="3" t="n"/>
      <c r="F362" s="3" t="n"/>
      <c r="G362" s="9" t="n"/>
      <c r="H362" s="10" t="n">
        <v>45667.39802083333</v>
      </c>
      <c r="I362" s="10" t="n">
        <v>45667.39886574074</v>
      </c>
      <c r="J362" s="10" t="n">
        <v>45667.42386574074</v>
      </c>
      <c r="K362" s="11" t="n">
        <v>0.025</v>
      </c>
      <c r="L362" s="13" t="n"/>
    </row>
    <row r="363">
      <c r="A363" s="3" t="inlineStr">
        <is>
          <t>OutboundTrainPreparation</t>
        </is>
      </c>
      <c r="B363" s="3" t="inlineStr">
        <is>
          <t>Act_OBTP_OBT100125133454-Linz_133454_615</t>
        </is>
      </c>
      <c r="C363" s="3" t="inlineStr">
        <is>
          <t>OBT100125133454-Linz</t>
        </is>
      </c>
      <c r="D363" s="9" t="n">
        <v>128</v>
      </c>
      <c r="E363" s="3" t="n"/>
      <c r="F363" s="3" t="n"/>
      <c r="G363" s="9" t="n"/>
      <c r="H363" s="10" t="n">
        <v>45667.56590277778</v>
      </c>
      <c r="I363" s="10" t="n">
        <v>45667.56761574074</v>
      </c>
      <c r="J363" s="10" t="n">
        <v>45667.58983796297</v>
      </c>
      <c r="K363" s="11" t="n">
        <v>0.02222222222222222</v>
      </c>
      <c r="L363" s="13" t="n"/>
    </row>
    <row r="364">
      <c r="A364" s="3" t="inlineStr">
        <is>
          <t>OutboundTrainPreparation</t>
        </is>
      </c>
      <c r="B364" s="3" t="inlineStr">
        <is>
          <t>Act_OBTP_OBT100125133507-Ljubljana_133507_625</t>
        </is>
      </c>
      <c r="C364" s="3" t="inlineStr">
        <is>
          <t>OBT100125133507-Ljubljana</t>
        </is>
      </c>
      <c r="D364" s="9" t="n">
        <v>176</v>
      </c>
      <c r="E364" s="3" t="n"/>
      <c r="F364" s="3" t="n"/>
      <c r="G364" s="9" t="n"/>
      <c r="H364" s="10" t="n">
        <v>45667.56605324074</v>
      </c>
      <c r="I364" s="10" t="n">
        <v>45667.56783564815</v>
      </c>
      <c r="J364" s="10" t="n">
        <v>45667.5983912037</v>
      </c>
      <c r="K364" s="11" t="n">
        <v>0.03055555555555555</v>
      </c>
      <c r="L364" s="13" t="n"/>
    </row>
    <row r="365">
      <c r="A365" s="3" t="inlineStr">
        <is>
          <t>OutboundTrainPreparation</t>
        </is>
      </c>
      <c r="B365" s="3" t="inlineStr">
        <is>
          <t>Act_OBTP_OBT100125133517-Salzburg_133517_623</t>
        </is>
      </c>
      <c r="C365" s="3" t="inlineStr">
        <is>
          <t>OBT100125133517-Salzburg</t>
        </is>
      </c>
      <c r="D365" s="9" t="n">
        <v>128</v>
      </c>
      <c r="E365" s="3" t="n"/>
      <c r="F365" s="3" t="n"/>
      <c r="G365" s="9" t="n"/>
      <c r="H365" s="10" t="n">
        <v>45667.56616898148</v>
      </c>
      <c r="I365" s="10" t="n">
        <v>45667.58241898148</v>
      </c>
      <c r="J365" s="10" t="n">
        <v>45667.6046412037</v>
      </c>
      <c r="K365" s="11" t="n">
        <v>0.02222222222222222</v>
      </c>
      <c r="L365" s="13" t="n"/>
    </row>
    <row r="366">
      <c r="A366" s="3" t="inlineStr">
        <is>
          <t>OutboundTrainPreparation</t>
        </is>
      </c>
      <c r="B366" s="3" t="inlineStr">
        <is>
          <t>Act_OBTP_OBT100125134146-Graz_134146_619</t>
        </is>
      </c>
      <c r="C366" s="3" t="inlineStr">
        <is>
          <t>OBT100125134146-Graz</t>
        </is>
      </c>
      <c r="D366" s="9" t="n">
        <v>128</v>
      </c>
      <c r="E366" s="3" t="n"/>
      <c r="F366" s="3" t="n"/>
      <c r="G366" s="9" t="n"/>
      <c r="H366" s="10" t="n">
        <v>45667.57067129629</v>
      </c>
      <c r="I366" s="10" t="n">
        <v>45667.59157407407</v>
      </c>
      <c r="J366" s="10" t="n">
        <v>45667.6137962963</v>
      </c>
      <c r="K366" s="11" t="n">
        <v>0.02222222222222222</v>
      </c>
      <c r="L366" s="13" t="n"/>
    </row>
    <row r="367">
      <c r="A367" s="3" t="inlineStr">
        <is>
          <t>OutboundTrainPreparation</t>
        </is>
      </c>
      <c r="B367" s="3" t="inlineStr">
        <is>
          <t>Act_OBTP_OBT100125135618-Vienna_135618_605</t>
        </is>
      </c>
      <c r="C367" s="3" t="inlineStr">
        <is>
          <t>OBT100125135618-Vienna</t>
        </is>
      </c>
      <c r="D367" s="9" t="n">
        <v>176</v>
      </c>
      <c r="E367" s="3" t="n"/>
      <c r="F367" s="3" t="n"/>
      <c r="G367" s="9" t="n"/>
      <c r="H367" s="10" t="n">
        <v>45667.58076388889</v>
      </c>
      <c r="I367" s="10" t="n">
        <v>45667.60006944444</v>
      </c>
      <c r="J367" s="10" t="n">
        <v>45667.630625</v>
      </c>
      <c r="K367" s="11" t="n">
        <v>0.03055555555555555</v>
      </c>
      <c r="L367" s="13" t="n"/>
    </row>
    <row r="368">
      <c r="A368" s="3" t="inlineStr">
        <is>
          <t>OutboundTrainPreparation</t>
        </is>
      </c>
      <c r="B368" s="3" t="inlineStr">
        <is>
          <t>Act_OBTP_OBT100125152926-Budapest_152926_613</t>
        </is>
      </c>
      <c r="C368" s="3" t="inlineStr">
        <is>
          <t>OBT100125152926-Budapest</t>
        </is>
      </c>
      <c r="D368" s="9" t="n">
        <v>128</v>
      </c>
      <c r="E368" s="3" t="n"/>
      <c r="F368" s="3" t="n"/>
      <c r="G368" s="9" t="n"/>
      <c r="H368" s="10" t="n">
        <v>45667.64543981481</v>
      </c>
      <c r="I368" s="10" t="n">
        <v>45667.64630787037</v>
      </c>
      <c r="J368" s="10" t="n">
        <v>45667.66853009259</v>
      </c>
      <c r="K368" s="11" t="n">
        <v>0.02222222222222222</v>
      </c>
      <c r="L368" s="13" t="n"/>
    </row>
    <row r="369">
      <c r="A369" s="3" t="inlineStr">
        <is>
          <t>OutboundTrainPreparation</t>
        </is>
      </c>
      <c r="B369" s="3" t="inlineStr">
        <is>
          <t>Act_OBTP_OBT100125154054-Graz_154054_625</t>
        </is>
      </c>
      <c r="C369" s="3" t="inlineStr">
        <is>
          <t>OBT100125154054-Graz</t>
        </is>
      </c>
      <c r="D369" s="9" t="n">
        <v>128</v>
      </c>
      <c r="E369" s="3" t="n"/>
      <c r="F369" s="3" t="n"/>
      <c r="G369" s="9" t="n"/>
      <c r="H369" s="10" t="n">
        <v>45667.65340277777</v>
      </c>
      <c r="I369" s="10" t="n">
        <v>45667.65427083334</v>
      </c>
      <c r="J369" s="10" t="n">
        <v>45667.67649305556</v>
      </c>
      <c r="K369" s="11" t="n">
        <v>0.02222222222222222</v>
      </c>
      <c r="L369" s="13" t="n"/>
    </row>
    <row r="370">
      <c r="A370" s="3" t="inlineStr">
        <is>
          <t>OutboundTrainPreparation</t>
        </is>
      </c>
      <c r="B370" s="3" t="inlineStr">
        <is>
          <t>Act_OBTP_OBT100125162009-Salzburg_162009_605</t>
        </is>
      </c>
      <c r="C370" s="3" t="inlineStr">
        <is>
          <t>OBT100125162009-Salzburg</t>
        </is>
      </c>
      <c r="D370" s="9" t="n">
        <v>160</v>
      </c>
      <c r="E370" s="3" t="n"/>
      <c r="F370" s="3" t="n"/>
      <c r="G370" s="9" t="n"/>
      <c r="H370" s="10" t="n">
        <v>45667.68065972222</v>
      </c>
      <c r="I370" s="10" t="n">
        <v>45667.68152777778</v>
      </c>
      <c r="J370" s="10" t="n">
        <v>45667.70930555555</v>
      </c>
      <c r="K370" s="11" t="n">
        <v>0.02777777777777778</v>
      </c>
      <c r="L370" s="13" t="n"/>
    </row>
    <row r="371">
      <c r="A371" s="3" t="inlineStr">
        <is>
          <t>OutboundTrainPreparation</t>
        </is>
      </c>
      <c r="B371" s="3" t="inlineStr">
        <is>
          <t>Act_OBTP_OBT100125165112-Innsbruck_165112_606</t>
        </is>
      </c>
      <c r="C371" s="3" t="inlineStr">
        <is>
          <t>OBT100125165112-Innsbruck</t>
        </is>
      </c>
      <c r="D371" s="9" t="n">
        <v>160</v>
      </c>
      <c r="E371" s="3" t="n"/>
      <c r="F371" s="3" t="n"/>
      <c r="G371" s="9" t="n"/>
      <c r="H371" s="10" t="n">
        <v>45667.70222222222</v>
      </c>
      <c r="I371" s="10" t="n">
        <v>45667.70305555555</v>
      </c>
      <c r="J371" s="10" t="n">
        <v>45667.73083333333</v>
      </c>
      <c r="K371" s="11" t="n">
        <v>0.02777777777777778</v>
      </c>
      <c r="L371" s="13" t="n"/>
    </row>
    <row r="372">
      <c r="A372" s="3" t="inlineStr">
        <is>
          <t>OutboundTrainPreparation</t>
        </is>
      </c>
      <c r="B372" s="3" t="inlineStr">
        <is>
          <t>Act_OBTP_OBT100125165346-Linz_165346_607</t>
        </is>
      </c>
      <c r="C372" s="3" t="inlineStr">
        <is>
          <t>OBT100125165346-Linz</t>
        </is>
      </c>
      <c r="D372" s="9" t="n">
        <v>176</v>
      </c>
      <c r="E372" s="3" t="n"/>
      <c r="F372" s="3" t="n"/>
      <c r="G372" s="9" t="n"/>
      <c r="H372" s="10" t="n">
        <v>45667.70400462963</v>
      </c>
      <c r="I372" s="10" t="n">
        <v>45667.70574074074</v>
      </c>
      <c r="J372" s="10" t="n">
        <v>45667.73629629629</v>
      </c>
      <c r="K372" s="11" t="n">
        <v>0.03055555555555555</v>
      </c>
      <c r="L372" s="13" t="n"/>
    </row>
    <row r="373">
      <c r="A373" s="3" t="inlineStr">
        <is>
          <t>OutboundTrainPreparation</t>
        </is>
      </c>
      <c r="B373" s="3" t="inlineStr">
        <is>
          <t>Act_OBTP_OBT110125063829-Ljubljana_063829_615</t>
        </is>
      </c>
      <c r="C373" s="3" t="inlineStr">
        <is>
          <t>OBT110125063829-Ljubljana</t>
        </is>
      </c>
      <c r="D373" s="9" t="n">
        <v>112</v>
      </c>
      <c r="E373" s="3" t="n"/>
      <c r="F373" s="3" t="n"/>
      <c r="G373" s="9" t="n"/>
      <c r="H373" s="10" t="n">
        <v>45668.27672453703</v>
      </c>
      <c r="I373" s="10" t="n">
        <v>45668.27756944444</v>
      </c>
      <c r="J373" s="10" t="n">
        <v>45668.29701388889</v>
      </c>
      <c r="K373" s="11" t="n">
        <v>0.01944444444444444</v>
      </c>
      <c r="L373" s="13" t="n"/>
    </row>
    <row r="374">
      <c r="A374" s="3" t="inlineStr">
        <is>
          <t>OutboundTrainPreparation</t>
        </is>
      </c>
      <c r="B374" s="3" t="inlineStr">
        <is>
          <t>Act_OBTP_OBT110125063952-Graz_063952_619</t>
        </is>
      </c>
      <c r="C374" s="3" t="inlineStr">
        <is>
          <t>OBT110125063952-Graz</t>
        </is>
      </c>
      <c r="D374" s="9" t="n">
        <v>144</v>
      </c>
      <c r="E374" s="3" t="n"/>
      <c r="F374" s="3" t="n"/>
      <c r="G374" s="9" t="n"/>
      <c r="H374" s="10" t="n">
        <v>45668.27768518519</v>
      </c>
      <c r="I374" s="10" t="n">
        <v>45668.27855324074</v>
      </c>
      <c r="J374" s="10" t="n">
        <v>45668.30355324074</v>
      </c>
      <c r="K374" s="11" t="n">
        <v>0.025</v>
      </c>
      <c r="L374" s="13" t="n"/>
    </row>
    <row r="375">
      <c r="A375" s="3" t="inlineStr">
        <is>
          <t>OutboundTrainPreparation</t>
        </is>
      </c>
      <c r="B375" s="3" t="inlineStr">
        <is>
          <t>Act_OBTP_OBT110125071413-Ljubljana_071413_607</t>
        </is>
      </c>
      <c r="C375" s="3" t="inlineStr">
        <is>
          <t>OBT110125071413-Ljubljana</t>
        </is>
      </c>
      <c r="D375" s="9" t="n">
        <v>176</v>
      </c>
      <c r="E375" s="3" t="n"/>
      <c r="F375" s="3" t="n"/>
      <c r="G375" s="9" t="n"/>
      <c r="H375" s="10" t="n">
        <v>45668.30153935185</v>
      </c>
      <c r="I375" s="10" t="n">
        <v>45668.30239583334</v>
      </c>
      <c r="J375" s="10" t="n">
        <v>45668.33295138889</v>
      </c>
      <c r="K375" s="11" t="n">
        <v>0.03055555555555555</v>
      </c>
      <c r="L375" s="13" t="n"/>
    </row>
    <row r="376">
      <c r="A376" s="3" t="inlineStr">
        <is>
          <t>OutboundTrainPreparation</t>
        </is>
      </c>
      <c r="B376" s="3" t="inlineStr">
        <is>
          <t>Act_OBTP_OBT110125073539-Innsbruck_073539_623</t>
        </is>
      </c>
      <c r="C376" s="3" t="inlineStr">
        <is>
          <t>OBT110125073539-Innsbruck</t>
        </is>
      </c>
      <c r="D376" s="9" t="n">
        <v>176</v>
      </c>
      <c r="E376" s="3" t="n"/>
      <c r="F376" s="3" t="n"/>
      <c r="G376" s="9" t="n"/>
      <c r="H376" s="10" t="n">
        <v>45668.31642361111</v>
      </c>
      <c r="I376" s="10" t="n">
        <v>45668.32149305556</v>
      </c>
      <c r="J376" s="10" t="n">
        <v>45668.35204861111</v>
      </c>
      <c r="K376" s="11" t="n">
        <v>0.03055555555555555</v>
      </c>
      <c r="L376" s="13" t="n"/>
    </row>
    <row r="377">
      <c r="A377" s="3" t="inlineStr">
        <is>
          <t>OutboundTrainPreparation</t>
        </is>
      </c>
      <c r="B377" s="3" t="inlineStr">
        <is>
          <t>Act_OBTP_OBT110125074027-Salzburg_074027_625</t>
        </is>
      </c>
      <c r="C377" s="3" t="inlineStr">
        <is>
          <t>OBT110125074027-Salzburg</t>
        </is>
      </c>
      <c r="D377" s="9" t="n">
        <v>128</v>
      </c>
      <c r="E377" s="3" t="n"/>
      <c r="F377" s="3" t="n"/>
      <c r="G377" s="9" t="n"/>
      <c r="H377" s="10" t="n">
        <v>45668.31975694445</v>
      </c>
      <c r="I377" s="10" t="n">
        <v>45668.3246875</v>
      </c>
      <c r="J377" s="10" t="n">
        <v>45668.34690972222</v>
      </c>
      <c r="K377" s="11" t="n">
        <v>0.02222222222222222</v>
      </c>
      <c r="L377" s="13" t="n"/>
    </row>
    <row r="378">
      <c r="A378" s="3" t="inlineStr">
        <is>
          <t>OutboundTrainPreparation</t>
        </is>
      </c>
      <c r="B378" s="3" t="inlineStr">
        <is>
          <t>Act_OBTP_OBT110125122417-Budapest_122417_613</t>
        </is>
      </c>
      <c r="C378" s="3" t="inlineStr">
        <is>
          <t>OBT110125122417-Budapest</t>
        </is>
      </c>
      <c r="D378" s="9" t="n">
        <v>128</v>
      </c>
      <c r="E378" s="3" t="n"/>
      <c r="F378" s="3" t="n"/>
      <c r="G378" s="9" t="n"/>
      <c r="H378" s="10" t="n">
        <v>45668.51686342592</v>
      </c>
      <c r="I378" s="10" t="n">
        <v>45668.51773148148</v>
      </c>
      <c r="J378" s="10" t="n">
        <v>45668.5399537037</v>
      </c>
      <c r="K378" s="11" t="n">
        <v>0.02222222222222222</v>
      </c>
      <c r="L378" s="13" t="n"/>
    </row>
    <row r="379">
      <c r="A379" s="3" t="inlineStr">
        <is>
          <t>OutboundTrainPreparation</t>
        </is>
      </c>
      <c r="B379" s="3" t="inlineStr">
        <is>
          <t>Act_OBTP_OBT110125125652-Vienna_125652_605</t>
        </is>
      </c>
      <c r="C379" s="3" t="inlineStr">
        <is>
          <t>OBT110125125652-Vienna</t>
        </is>
      </c>
      <c r="D379" s="9" t="n">
        <v>160</v>
      </c>
      <c r="E379" s="3" t="n"/>
      <c r="F379" s="3" t="n"/>
      <c r="G379" s="9" t="n"/>
      <c r="H379" s="10" t="n">
        <v>45668.53949074074</v>
      </c>
      <c r="I379" s="10" t="n">
        <v>45668.54168981482</v>
      </c>
      <c r="J379" s="10" t="n">
        <v>45668.56946759259</v>
      </c>
      <c r="K379" s="11" t="n">
        <v>0.02777777777777778</v>
      </c>
      <c r="L379" s="13" t="n"/>
    </row>
    <row r="380">
      <c r="A380" s="3" t="inlineStr">
        <is>
          <t>OutboundTrainPreparation</t>
        </is>
      </c>
      <c r="B380" s="3" t="inlineStr">
        <is>
          <t>Act_OBTP_OBT110125130204-Ljubljana_130204_625</t>
        </is>
      </c>
      <c r="C380" s="3" t="inlineStr">
        <is>
          <t>OBT110125130204-Ljubljana</t>
        </is>
      </c>
      <c r="D380" s="9" t="n">
        <v>112</v>
      </c>
      <c r="E380" s="3" t="n"/>
      <c r="F380" s="3" t="n"/>
      <c r="G380" s="9" t="n"/>
      <c r="H380" s="10" t="n">
        <v>45668.54310185185</v>
      </c>
      <c r="I380" s="10" t="n">
        <v>45668.54569444444</v>
      </c>
      <c r="J380" s="10" t="n">
        <v>45668.56513888889</v>
      </c>
      <c r="K380" s="11" t="n">
        <v>0.01944444444444444</v>
      </c>
      <c r="L380" s="13" t="n"/>
    </row>
    <row r="381">
      <c r="A381" s="3" t="inlineStr">
        <is>
          <t>OutboundTrainPreparation</t>
        </is>
      </c>
      <c r="B381" s="3" t="inlineStr">
        <is>
          <t>Act_OBTP_OBT110125130321-Klagenfurt_130321_627</t>
        </is>
      </c>
      <c r="C381" s="3" t="inlineStr">
        <is>
          <t>OBT110125130321-Klagenfurt</t>
        </is>
      </c>
      <c r="D381" s="9" t="n">
        <v>144</v>
      </c>
      <c r="E381" s="3" t="n"/>
      <c r="F381" s="3" t="n"/>
      <c r="G381" s="9" t="n"/>
      <c r="H381" s="10" t="n">
        <v>45668.54399305556</v>
      </c>
      <c r="I381" s="10" t="n">
        <v>45668.5668287037</v>
      </c>
      <c r="J381" s="10" t="n">
        <v>45668.59182870371</v>
      </c>
      <c r="K381" s="11" t="n">
        <v>0.025</v>
      </c>
      <c r="L381" s="13" t="n"/>
    </row>
    <row r="382">
      <c r="A382" s="3" t="inlineStr">
        <is>
          <t>OutboundTrainPreparation</t>
        </is>
      </c>
      <c r="B382" s="3" t="inlineStr">
        <is>
          <t>Act_OBTP_OBT110125130624-Salzburg_130624_615</t>
        </is>
      </c>
      <c r="C382" s="3" t="inlineStr">
        <is>
          <t>OBT110125130624-Salzburg</t>
        </is>
      </c>
      <c r="D382" s="9" t="n">
        <v>160</v>
      </c>
      <c r="E382" s="3" t="n"/>
      <c r="F382" s="3" t="n"/>
      <c r="G382" s="9" t="n"/>
      <c r="H382" s="10" t="n">
        <v>45668.54611111111</v>
      </c>
      <c r="I382" s="10" t="n">
        <v>45668.57027777778</v>
      </c>
      <c r="J382" s="10" t="n">
        <v>45668.59805555556</v>
      </c>
      <c r="K382" s="11" t="n">
        <v>0.02777777777777778</v>
      </c>
      <c r="L382" s="13" t="n"/>
    </row>
    <row r="383">
      <c r="A383" s="3" t="inlineStr">
        <is>
          <t>OutboundTrainPreparation</t>
        </is>
      </c>
      <c r="B383" s="3" t="inlineStr">
        <is>
          <t>Act_OBTP_OBT110125133600-Ljubljana_133600_613</t>
        </is>
      </c>
      <c r="C383" s="3" t="inlineStr">
        <is>
          <t>OBT110125133600-Ljubljana</t>
        </is>
      </c>
      <c r="D383" s="9" t="n">
        <v>176</v>
      </c>
      <c r="E383" s="3" t="n"/>
      <c r="F383" s="3" t="n"/>
      <c r="G383" s="9" t="n"/>
      <c r="H383" s="10" t="n">
        <v>45668.56666666667</v>
      </c>
      <c r="I383" s="10" t="n">
        <v>45668.5712037037</v>
      </c>
      <c r="J383" s="10" t="n">
        <v>45668.60175925926</v>
      </c>
      <c r="K383" s="11" t="n">
        <v>0.03055555555555555</v>
      </c>
      <c r="L383" s="13" t="n"/>
    </row>
    <row r="384">
      <c r="A384" s="3" t="inlineStr">
        <is>
          <t>OutboundTrainPreparation</t>
        </is>
      </c>
      <c r="B384" s="3" t="inlineStr">
        <is>
          <t>Act_OBTP_OBT110125213155-Vienna_213155_607</t>
        </is>
      </c>
      <c r="C384" s="3" t="inlineStr">
        <is>
          <t>OBT110125213155-Vienna</t>
        </is>
      </c>
      <c r="D384" s="9" t="n">
        <v>112</v>
      </c>
      <c r="E384" s="3" t="n"/>
      <c r="F384" s="3" t="n"/>
      <c r="G384" s="9" t="n"/>
      <c r="H384" s="10" t="n">
        <v>45668.89716435185</v>
      </c>
      <c r="I384" s="10" t="n">
        <v>45668.89803240741</v>
      </c>
      <c r="J384" s="10" t="n">
        <v>45668.91747685185</v>
      </c>
      <c r="K384" s="11" t="n">
        <v>0.01944444444444444</v>
      </c>
      <c r="L384" s="13" t="n"/>
    </row>
    <row r="385">
      <c r="A385" s="3" t="inlineStr">
        <is>
          <t>OutboundTrainPreparation</t>
        </is>
      </c>
      <c r="B385" s="3" t="inlineStr">
        <is>
          <t>Act_OBTP_OBT110125215724-Graz_215724_606</t>
        </is>
      </c>
      <c r="C385" s="3" t="inlineStr">
        <is>
          <t>OBT110125215724-Graz</t>
        </is>
      </c>
      <c r="D385" s="9" t="n">
        <v>256</v>
      </c>
      <c r="E385" s="3" t="n"/>
      <c r="F385" s="3" t="n"/>
      <c r="G385" s="9" t="n"/>
      <c r="H385" s="10" t="n">
        <v>45668.91486111111</v>
      </c>
      <c r="I385" s="10" t="n">
        <v>45668.91570601852</v>
      </c>
      <c r="J385" s="10" t="n">
        <v>45668.96015046296</v>
      </c>
      <c r="K385" s="11" t="n">
        <v>0.04444444444444445</v>
      </c>
      <c r="L385" s="13" t="n"/>
    </row>
    <row r="386">
      <c r="A386" s="3" t="inlineStr">
        <is>
          <t>OutboundTrainPreparation</t>
        </is>
      </c>
      <c r="B386" s="3" t="inlineStr">
        <is>
          <t>Act_OBTP_OBT120125000412-Salzburg_000412_627</t>
        </is>
      </c>
      <c r="C386" s="3" t="inlineStr">
        <is>
          <t>OBT120125000412-Salzburg</t>
        </is>
      </c>
      <c r="D386" s="9" t="n">
        <v>128</v>
      </c>
      <c r="E386" s="3" t="n"/>
      <c r="F386" s="3" t="n"/>
      <c r="G386" s="9" t="n"/>
      <c r="H386" s="10" t="n">
        <v>45669.00291666666</v>
      </c>
      <c r="I386" s="10" t="n">
        <v>45669.00376157407</v>
      </c>
      <c r="J386" s="10" t="n">
        <v>45669.02598379629</v>
      </c>
      <c r="K386" s="11" t="n">
        <v>0.02222222222222222</v>
      </c>
      <c r="L386" s="13" t="n"/>
    </row>
    <row r="387">
      <c r="A387" s="3" t="inlineStr">
        <is>
          <t>OutboundTrainPreparation</t>
        </is>
      </c>
      <c r="B387" s="3" t="inlineStr">
        <is>
          <t>Act_OBTP_OBT120125083654-Innsbruck_083654_615</t>
        </is>
      </c>
      <c r="C387" s="3" t="inlineStr">
        <is>
          <t>OBT120125083654-Innsbruck</t>
        </is>
      </c>
      <c r="D387" s="9" t="n">
        <v>144</v>
      </c>
      <c r="E387" s="3" t="n"/>
      <c r="F387" s="3" t="n"/>
      <c r="G387" s="9" t="n"/>
      <c r="H387" s="10" t="n">
        <v>45669.35895833333</v>
      </c>
      <c r="I387" s="10" t="n">
        <v>45669.35979166667</v>
      </c>
      <c r="J387" s="10" t="n">
        <v>45669.38479166666</v>
      </c>
      <c r="K387" s="11" t="n">
        <v>0.025</v>
      </c>
      <c r="L387" s="13" t="n"/>
    </row>
    <row r="388">
      <c r="A388" s="3" t="inlineStr">
        <is>
          <t>OutboundTrainPreparation</t>
        </is>
      </c>
      <c r="B388" s="3" t="inlineStr">
        <is>
          <t>Act_OBTP_OBT120125084207-Klagenfurt_084207_619</t>
        </is>
      </c>
      <c r="C388" s="3" t="inlineStr">
        <is>
          <t>OBT120125084207-Klagenfurt</t>
        </is>
      </c>
      <c r="D388" s="9" t="n">
        <v>160</v>
      </c>
      <c r="E388" s="3" t="n"/>
      <c r="F388" s="3" t="n"/>
      <c r="G388" s="9" t="n"/>
      <c r="H388" s="10" t="n">
        <v>45669.36258101852</v>
      </c>
      <c r="I388" s="10" t="n">
        <v>45669.36344907407</v>
      </c>
      <c r="J388" s="10" t="n">
        <v>45669.39122685185</v>
      </c>
      <c r="K388" s="11" t="n">
        <v>0.02777777777777778</v>
      </c>
      <c r="L388" s="13" t="n"/>
    </row>
    <row r="389">
      <c r="A389" s="3" t="inlineStr">
        <is>
          <t>OutboundTrainPreparation</t>
        </is>
      </c>
      <c r="B389" s="3" t="inlineStr">
        <is>
          <t>Act_OBTP_OBT120125095853-Linz_095853_609</t>
        </is>
      </c>
      <c r="C389" s="3" t="inlineStr">
        <is>
          <t>OBT120125095853-Linz</t>
        </is>
      </c>
      <c r="D389" s="9" t="n">
        <v>128</v>
      </c>
      <c r="E389" s="3" t="n"/>
      <c r="F389" s="3" t="n"/>
      <c r="G389" s="9" t="n"/>
      <c r="H389" s="10" t="n">
        <v>45669.4158912037</v>
      </c>
      <c r="I389" s="10" t="n">
        <v>45669.41667824074</v>
      </c>
      <c r="J389" s="10" t="n">
        <v>45669.43890046296</v>
      </c>
      <c r="K389" s="11" t="n">
        <v>0.02222222222222222</v>
      </c>
      <c r="L389" s="13" t="n"/>
    </row>
    <row r="390">
      <c r="A390" s="3" t="inlineStr">
        <is>
          <t>OutboundTrainPreparation</t>
        </is>
      </c>
      <c r="B390" s="3" t="inlineStr">
        <is>
          <t>Act_OBTP_OBT120125104405-Budapest_104405_623</t>
        </is>
      </c>
      <c r="C390" s="3" t="inlineStr">
        <is>
          <t>OBT120125104405-Budapest</t>
        </is>
      </c>
      <c r="D390" s="9" t="n">
        <v>128</v>
      </c>
      <c r="E390" s="3" t="n"/>
      <c r="F390" s="3" t="n"/>
      <c r="G390" s="9" t="n"/>
      <c r="H390" s="10" t="n">
        <v>45669.44728009259</v>
      </c>
      <c r="I390" s="10" t="n">
        <v>45669.4480787037</v>
      </c>
      <c r="J390" s="10" t="n">
        <v>45669.47030092592</v>
      </c>
      <c r="K390" s="11" t="n">
        <v>0.02222222222222222</v>
      </c>
      <c r="L390" s="13" t="n"/>
    </row>
    <row r="391">
      <c r="A391" s="3" t="inlineStr">
        <is>
          <t>OutboundTrainPreparation</t>
        </is>
      </c>
      <c r="B391" s="3" t="inlineStr">
        <is>
          <t>Act_OBTP_OBT120125113345-Salzburg_113345_605</t>
        </is>
      </c>
      <c r="C391" s="3" t="inlineStr">
        <is>
          <t>OBT120125113345-Salzburg</t>
        </is>
      </c>
      <c r="D391" s="9" t="n">
        <v>144</v>
      </c>
      <c r="E391" s="3" t="n"/>
      <c r="F391" s="3" t="n"/>
      <c r="G391" s="9" t="n"/>
      <c r="H391" s="10" t="n">
        <v>45669.48177083334</v>
      </c>
      <c r="I391" s="10" t="n">
        <v>45669.48261574074</v>
      </c>
      <c r="J391" s="10" t="n">
        <v>45669.50761574074</v>
      </c>
      <c r="K391" s="11" t="n">
        <v>0.025</v>
      </c>
      <c r="L391" s="13" t="n"/>
    </row>
    <row r="392">
      <c r="A392" s="3" t="inlineStr">
        <is>
          <t>OutboundTrainPreparation</t>
        </is>
      </c>
      <c r="B392" s="3" t="inlineStr">
        <is>
          <t>Act_OBTP_OBT120125121725-Ljubljana_121725_613</t>
        </is>
      </c>
      <c r="C392" s="3" t="inlineStr">
        <is>
          <t>OBT120125121725-Ljubljana</t>
        </is>
      </c>
      <c r="D392" s="9" t="n">
        <v>144</v>
      </c>
      <c r="E392" s="3" t="n"/>
      <c r="F392" s="3" t="n"/>
      <c r="G392" s="9" t="n"/>
      <c r="H392" s="10" t="n">
        <v>45669.5120949074</v>
      </c>
      <c r="I392" s="10" t="n">
        <v>45669.51293981481</v>
      </c>
      <c r="J392" s="10" t="n">
        <v>45669.53793981481</v>
      </c>
      <c r="K392" s="11" t="n">
        <v>0.025</v>
      </c>
      <c r="L392" s="13" t="n"/>
    </row>
    <row r="393">
      <c r="A393" s="3" t="inlineStr">
        <is>
          <t>OutboundTrainPreparation</t>
        </is>
      </c>
      <c r="B393" s="3" t="inlineStr">
        <is>
          <t>Act_OBTP_OBT120125162654-Ljubljana_162654_619</t>
        </is>
      </c>
      <c r="C393" s="3" t="inlineStr">
        <is>
          <t>OBT120125162654-Ljubljana</t>
        </is>
      </c>
      <c r="D393" s="9" t="n">
        <v>112</v>
      </c>
      <c r="E393" s="3" t="n"/>
      <c r="F393" s="3" t="n"/>
      <c r="G393" s="9" t="n"/>
      <c r="H393" s="10" t="n">
        <v>45669.68534722222</v>
      </c>
      <c r="I393" s="10" t="n">
        <v>45669.68621527778</v>
      </c>
      <c r="J393" s="10" t="n">
        <v>45669.70565972223</v>
      </c>
      <c r="K393" s="11" t="n">
        <v>0.01944444444444444</v>
      </c>
      <c r="L393" s="13" t="n"/>
    </row>
    <row r="394">
      <c r="A394" s="3" t="inlineStr">
        <is>
          <t>OutboundTrainPreparation</t>
        </is>
      </c>
      <c r="B394" s="3" t="inlineStr">
        <is>
          <t>Act_OBTP_OBT120125194018-Vienna_194018_625</t>
        </is>
      </c>
      <c r="C394" s="3" t="inlineStr">
        <is>
          <t>OBT120125194018-Vienna</t>
        </is>
      </c>
      <c r="D394" s="9" t="n">
        <v>192</v>
      </c>
      <c r="E394" s="3" t="n"/>
      <c r="F394" s="3" t="n"/>
      <c r="G394" s="9" t="n"/>
      <c r="H394" s="10" t="n">
        <v>45669.81965277778</v>
      </c>
      <c r="I394" s="10" t="n">
        <v>45669.82052083333</v>
      </c>
      <c r="J394" s="10" t="n">
        <v>45669.85385416666</v>
      </c>
      <c r="K394" s="11" t="n">
        <v>0.03333333333333333</v>
      </c>
      <c r="L394" s="13" t="n"/>
    </row>
    <row r="395">
      <c r="A395" s="3" t="inlineStr">
        <is>
          <t>OutboundTrainPreparation</t>
        </is>
      </c>
      <c r="B395" s="3" t="inlineStr">
        <is>
          <t>Act_OBTP_OBT120125230501-Budapest_230501_613</t>
        </is>
      </c>
      <c r="C395" s="3" t="inlineStr">
        <is>
          <t>OBT120125230501-Budapest</t>
        </is>
      </c>
      <c r="D395" s="9" t="n">
        <v>304</v>
      </c>
      <c r="E395" s="3" t="n"/>
      <c r="F395" s="3" t="n"/>
      <c r="G395" s="9" t="n"/>
      <c r="H395" s="10" t="n">
        <v>45669.96181712963</v>
      </c>
      <c r="I395" s="10" t="n">
        <v>45669.96267361111</v>
      </c>
      <c r="J395" s="10" t="n">
        <v>45670.01545138889</v>
      </c>
      <c r="K395" s="11" t="n">
        <v>0.05277777777777778</v>
      </c>
      <c r="L395" s="13" t="n"/>
    </row>
    <row r="396">
      <c r="A396" s="3" t="inlineStr">
        <is>
          <t>PushOff</t>
        </is>
      </c>
      <c r="B396" s="3" t="inlineStr">
        <is>
          <t>Act_PO_12002_051105_727</t>
        </is>
      </c>
      <c r="C396" s="3" t="inlineStr">
        <is>
          <t>12002</t>
        </is>
      </c>
      <c r="D396" s="9" t="n">
        <v>208</v>
      </c>
      <c r="E396" s="3" t="n"/>
      <c r="F396" s="3" t="n"/>
      <c r="G396" s="9" t="n"/>
      <c r="H396" s="10" t="n">
        <v>45663.21603009259</v>
      </c>
      <c r="I396" s="10" t="n">
        <v>45663.21689814814</v>
      </c>
      <c r="J396" s="10" t="n">
        <v>45663.22078703704</v>
      </c>
      <c r="K396" s="11" t="n">
        <v>0.003888888888888889</v>
      </c>
      <c r="L396" s="13" t="n"/>
    </row>
    <row r="397">
      <c r="A397" s="3" t="inlineStr">
        <is>
          <t>PushOff</t>
        </is>
      </c>
      <c r="B397" s="3" t="inlineStr">
        <is>
          <t>Act_PO_12001_051245_703</t>
        </is>
      </c>
      <c r="C397" s="3" t="inlineStr">
        <is>
          <t>12001</t>
        </is>
      </c>
      <c r="D397" s="9" t="n">
        <v>224</v>
      </c>
      <c r="E397" s="3" t="n"/>
      <c r="F397" s="3" t="n"/>
      <c r="G397" s="9" t="n"/>
      <c r="H397" s="10" t="n">
        <v>45663.2171875</v>
      </c>
      <c r="I397" s="10" t="n">
        <v>45663.22166666666</v>
      </c>
      <c r="J397" s="10" t="n">
        <v>45663.22773148148</v>
      </c>
      <c r="K397" s="11" t="n">
        <v>0.006064814814814815</v>
      </c>
      <c r="L397" s="13" t="n"/>
    </row>
    <row r="398">
      <c r="A398" s="3" t="inlineStr">
        <is>
          <t>PushOff</t>
        </is>
      </c>
      <c r="B398" s="3" t="inlineStr">
        <is>
          <t>Act_PO_12003_074029_703</t>
        </is>
      </c>
      <c r="C398" s="3" t="inlineStr">
        <is>
          <t>12003</t>
        </is>
      </c>
      <c r="D398" s="9" t="n">
        <v>160</v>
      </c>
      <c r="E398" s="3" t="n"/>
      <c r="F398" s="3" t="n"/>
      <c r="G398" s="9" t="n"/>
      <c r="H398" s="10" t="n">
        <v>45663.31978009259</v>
      </c>
      <c r="I398" s="10" t="n">
        <v>45663.32064814815</v>
      </c>
      <c r="J398" s="10" t="n">
        <v>45663.3221412037</v>
      </c>
      <c r="K398" s="11" t="n">
        <v>0.001493055555555556</v>
      </c>
      <c r="L398" s="13" t="n"/>
    </row>
    <row r="399">
      <c r="A399" s="3" t="inlineStr">
        <is>
          <t>PushOff</t>
        </is>
      </c>
      <c r="B399" s="3" t="inlineStr">
        <is>
          <t>Act_PO_12004_112416_703</t>
        </is>
      </c>
      <c r="C399" s="3" t="inlineStr">
        <is>
          <t>12004</t>
        </is>
      </c>
      <c r="D399" s="9" t="n">
        <v>96</v>
      </c>
      <c r="E399" s="3" t="n"/>
      <c r="F399" s="3" t="n"/>
      <c r="G399" s="9" t="n"/>
      <c r="H399" s="10" t="n">
        <v>45663.47518518518</v>
      </c>
      <c r="I399" s="10" t="n">
        <v>45663.47606481481</v>
      </c>
      <c r="J399" s="10" t="n">
        <v>45663.47741898148</v>
      </c>
      <c r="K399" s="11" t="n">
        <v>0.001354166666666667</v>
      </c>
      <c r="L399" s="13" t="n"/>
    </row>
    <row r="400">
      <c r="A400" s="3" t="inlineStr">
        <is>
          <t>PushOff</t>
        </is>
      </c>
      <c r="B400" s="3" t="inlineStr">
        <is>
          <t>Act_PO_12005_145723_703</t>
        </is>
      </c>
      <c r="C400" s="3" t="inlineStr">
        <is>
          <t>12005</t>
        </is>
      </c>
      <c r="D400" s="9" t="n">
        <v>176</v>
      </c>
      <c r="E400" s="3" t="n"/>
      <c r="F400" s="3" t="n"/>
      <c r="G400" s="9" t="n"/>
      <c r="H400" s="10" t="n">
        <v>45663.62318287037</v>
      </c>
      <c r="I400" s="10" t="n">
        <v>45663.62405092592</v>
      </c>
      <c r="J400" s="10" t="n">
        <v>45663.62895833333</v>
      </c>
      <c r="K400" s="11" t="n">
        <v>0.004907407407407407</v>
      </c>
      <c r="L400" s="13" t="n"/>
    </row>
    <row r="401">
      <c r="A401" s="3" t="inlineStr">
        <is>
          <t>PushOff</t>
        </is>
      </c>
      <c r="B401" s="3" t="inlineStr">
        <is>
          <t>Act_PO_12006_061014_703</t>
        </is>
      </c>
      <c r="C401" s="3" t="inlineStr">
        <is>
          <t>12006</t>
        </is>
      </c>
      <c r="D401" s="9" t="n">
        <v>160</v>
      </c>
      <c r="E401" s="3" t="n"/>
      <c r="F401" s="3" t="n"/>
      <c r="G401" s="9" t="n"/>
      <c r="H401" s="10" t="n">
        <v>45664.25710648148</v>
      </c>
      <c r="I401" s="10" t="n">
        <v>45664.25798611111</v>
      </c>
      <c r="J401" s="10" t="n">
        <v>45664.26158564815</v>
      </c>
      <c r="K401" s="11" t="n">
        <v>0.003599537037037037</v>
      </c>
      <c r="L401" s="13" t="n"/>
    </row>
    <row r="402">
      <c r="A402" s="3" t="inlineStr">
        <is>
          <t>PushOff</t>
        </is>
      </c>
      <c r="B402" s="3" t="inlineStr">
        <is>
          <t>Act_PO_12007_062407_727</t>
        </is>
      </c>
      <c r="C402" s="3" t="inlineStr">
        <is>
          <t>12007</t>
        </is>
      </c>
      <c r="D402" s="9" t="n">
        <v>128</v>
      </c>
      <c r="E402" s="3" t="n"/>
      <c r="F402" s="3" t="n"/>
      <c r="G402" s="9" t="n"/>
      <c r="H402" s="10" t="n">
        <v>45664.26674768519</v>
      </c>
      <c r="I402" s="10" t="n">
        <v>45664.26762731482</v>
      </c>
      <c r="J402" s="10" t="n">
        <v>45664.2690162037</v>
      </c>
      <c r="K402" s="11" t="n">
        <v>0.001388888888888889</v>
      </c>
      <c r="L402" s="13" t="n"/>
    </row>
    <row r="403">
      <c r="A403" s="3" t="inlineStr">
        <is>
          <t>PushOff</t>
        </is>
      </c>
      <c r="B403" s="3" t="inlineStr">
        <is>
          <t>Act_PO_12008_063356_703</t>
        </is>
      </c>
      <c r="C403" s="3" t="inlineStr">
        <is>
          <t>12008</t>
        </is>
      </c>
      <c r="D403" s="9" t="n">
        <v>224</v>
      </c>
      <c r="E403" s="3" t="n"/>
      <c r="F403" s="3" t="n"/>
      <c r="G403" s="9" t="n"/>
      <c r="H403" s="10" t="n">
        <v>45664.27356481482</v>
      </c>
      <c r="I403" s="10" t="n">
        <v>45664.27443287037</v>
      </c>
      <c r="J403" s="10" t="n">
        <v>45664.28020833333</v>
      </c>
      <c r="K403" s="11" t="n">
        <v>0.005775462962962963</v>
      </c>
      <c r="L403" s="13" t="n"/>
    </row>
    <row r="404">
      <c r="A404" s="3" t="inlineStr">
        <is>
          <t>PushOff</t>
        </is>
      </c>
      <c r="B404" s="3" t="inlineStr">
        <is>
          <t>Act_PO_12009_064700_727</t>
        </is>
      </c>
      <c r="C404" s="3" t="inlineStr">
        <is>
          <t>12009</t>
        </is>
      </c>
      <c r="D404" s="9" t="n">
        <v>128</v>
      </c>
      <c r="E404" s="3" t="n"/>
      <c r="F404" s="3" t="n"/>
      <c r="G404" s="9" t="n"/>
      <c r="H404" s="10" t="n">
        <v>45664.28263888889</v>
      </c>
      <c r="I404" s="10" t="n">
        <v>45664.28351851852</v>
      </c>
      <c r="J404" s="10" t="n">
        <v>45664.28900462963</v>
      </c>
      <c r="K404" s="11" t="n">
        <v>0.005486111111111111</v>
      </c>
      <c r="L404" s="13" t="n"/>
    </row>
    <row r="405">
      <c r="A405" s="3" t="inlineStr">
        <is>
          <t>PushOff</t>
        </is>
      </c>
      <c r="B405" s="3" t="inlineStr">
        <is>
          <t>Act_PO_12010_065854_703</t>
        </is>
      </c>
      <c r="C405" s="3" t="inlineStr">
        <is>
          <t>12010</t>
        </is>
      </c>
      <c r="D405" s="9" t="n">
        <v>96</v>
      </c>
      <c r="E405" s="3" t="n"/>
      <c r="F405" s="3" t="n"/>
      <c r="G405" s="9" t="n"/>
      <c r="H405" s="10" t="n">
        <v>45664.29090277778</v>
      </c>
      <c r="I405" s="10" t="n">
        <v>45664.29178240741</v>
      </c>
      <c r="J405" s="10" t="n">
        <v>45664.29391203704</v>
      </c>
      <c r="K405" s="11" t="n">
        <v>0.00212962962962963</v>
      </c>
      <c r="L405" s="13" t="n"/>
    </row>
    <row r="406">
      <c r="A406" s="3" t="inlineStr">
        <is>
          <t>PushOff</t>
        </is>
      </c>
      <c r="B406" s="3" t="inlineStr">
        <is>
          <t>Act_PO_12011_071034_727</t>
        </is>
      </c>
      <c r="C406" s="3" t="inlineStr">
        <is>
          <t>12011</t>
        </is>
      </c>
      <c r="D406" s="9" t="n">
        <v>192</v>
      </c>
      <c r="E406" s="3" t="n"/>
      <c r="F406" s="3" t="n"/>
      <c r="G406" s="9" t="n"/>
      <c r="H406" s="10" t="n">
        <v>45664.29900462963</v>
      </c>
      <c r="I406" s="10" t="n">
        <v>45664.29988425926</v>
      </c>
      <c r="J406" s="10" t="n">
        <v>45664.30368055555</v>
      </c>
      <c r="K406" s="11" t="n">
        <v>0.003796296296296296</v>
      </c>
      <c r="L406" s="13" t="n"/>
    </row>
    <row r="407">
      <c r="A407" s="3" t="inlineStr">
        <is>
          <t>PushOff</t>
        </is>
      </c>
      <c r="B407" s="3" t="inlineStr">
        <is>
          <t>Act_PO_12012_130934_703</t>
        </is>
      </c>
      <c r="C407" s="3" t="inlineStr">
        <is>
          <t>12012</t>
        </is>
      </c>
      <c r="D407" s="9" t="n">
        <v>128</v>
      </c>
      <c r="E407" s="3" t="n"/>
      <c r="F407" s="3" t="n"/>
      <c r="G407" s="9" t="n"/>
      <c r="H407" s="10" t="n">
        <v>45664.54831018519</v>
      </c>
      <c r="I407" s="10" t="n">
        <v>45664.54918981482</v>
      </c>
      <c r="J407" s="10" t="n">
        <v>45664.55061342593</v>
      </c>
      <c r="K407" s="11" t="n">
        <v>0.001423611111111111</v>
      </c>
      <c r="L407" s="13" t="n"/>
    </row>
    <row r="408">
      <c r="A408" s="3" t="inlineStr">
        <is>
          <t>PushOff</t>
        </is>
      </c>
      <c r="B408" s="3" t="inlineStr">
        <is>
          <t>Act_PO_12013_163859_703</t>
        </is>
      </c>
      <c r="C408" s="3" t="inlineStr">
        <is>
          <t>12013</t>
        </is>
      </c>
      <c r="D408" s="9" t="n">
        <v>80</v>
      </c>
      <c r="E408" s="3" t="n"/>
      <c r="F408" s="3" t="n"/>
      <c r="G408" s="9" t="n"/>
      <c r="H408" s="10" t="n">
        <v>45664.69373842593</v>
      </c>
      <c r="I408" s="10" t="n">
        <v>45664.69460648148</v>
      </c>
      <c r="J408" s="10" t="n">
        <v>45664.69671296296</v>
      </c>
      <c r="K408" s="11" t="n">
        <v>0.002106481481481481</v>
      </c>
      <c r="L408" s="13" t="n"/>
    </row>
    <row r="409">
      <c r="A409" s="3" t="inlineStr">
        <is>
          <t>PushOff</t>
        </is>
      </c>
      <c r="B409" s="3" t="inlineStr">
        <is>
          <t>Act_PO_12014_200807_731</t>
        </is>
      </c>
      <c r="C409" s="3" t="inlineStr">
        <is>
          <t>12014</t>
        </is>
      </c>
      <c r="D409" s="9" t="n">
        <v>64</v>
      </c>
      <c r="E409" s="3" t="n"/>
      <c r="F409" s="3" t="n"/>
      <c r="G409" s="9" t="n"/>
      <c r="H409" s="10" t="n">
        <v>45664.83896990741</v>
      </c>
      <c r="I409" s="10" t="n">
        <v>45664.83984953703</v>
      </c>
      <c r="J409" s="10" t="n">
        <v>45664.84306712963</v>
      </c>
      <c r="K409" s="11" t="n">
        <v>0.003217592592592593</v>
      </c>
      <c r="L409" s="13" t="n"/>
    </row>
    <row r="410">
      <c r="A410" s="3" t="inlineStr">
        <is>
          <t>PushOff</t>
        </is>
      </c>
      <c r="B410" s="3" t="inlineStr">
        <is>
          <t>Act_PO_12017_053812_731</t>
        </is>
      </c>
      <c r="C410" s="3" t="inlineStr">
        <is>
          <t>12017</t>
        </is>
      </c>
      <c r="D410" s="9" t="n">
        <v>64</v>
      </c>
      <c r="E410" s="3" t="n"/>
      <c r="F410" s="3" t="n"/>
      <c r="G410" s="9" t="n"/>
      <c r="H410" s="10" t="n">
        <v>45665.23486111111</v>
      </c>
      <c r="I410" s="10" t="n">
        <v>45665.23659722223</v>
      </c>
      <c r="J410" s="10" t="n">
        <v>45665.24133101852</v>
      </c>
      <c r="K410" s="11" t="n">
        <v>0.004733796296296297</v>
      </c>
      <c r="L410" s="13" t="n"/>
    </row>
    <row r="411">
      <c r="A411" s="3" t="inlineStr">
        <is>
          <t>PushOff</t>
        </is>
      </c>
      <c r="B411" s="3" t="inlineStr">
        <is>
          <t>Act_PO_12016_053829_727</t>
        </is>
      </c>
      <c r="C411" s="3" t="inlineStr">
        <is>
          <t>12016</t>
        </is>
      </c>
      <c r="D411" s="9" t="n">
        <v>96</v>
      </c>
      <c r="E411" s="3" t="n"/>
      <c r="F411" s="3" t="n"/>
      <c r="G411" s="9" t="n"/>
      <c r="H411" s="10" t="n">
        <v>45665.23505787037</v>
      </c>
      <c r="I411" s="10" t="n">
        <v>45665.24219907408</v>
      </c>
      <c r="J411" s="10" t="n">
        <v>45665.24407407407</v>
      </c>
      <c r="K411" s="11" t="n">
        <v>0.001875</v>
      </c>
      <c r="L411" s="13" t="n"/>
    </row>
    <row r="412">
      <c r="A412" s="3" t="inlineStr">
        <is>
          <t>PushOff</t>
        </is>
      </c>
      <c r="B412" s="3" t="inlineStr">
        <is>
          <t>Act_PO_12015_054215_703</t>
        </is>
      </c>
      <c r="C412" s="3" t="inlineStr">
        <is>
          <t>12015</t>
        </is>
      </c>
      <c r="D412" s="9" t="n">
        <v>192</v>
      </c>
      <c r="E412" s="3" t="n"/>
      <c r="F412" s="3" t="n"/>
      <c r="G412" s="9" t="n"/>
      <c r="H412" s="10" t="n">
        <v>45665.23767361111</v>
      </c>
      <c r="I412" s="10" t="n">
        <v>45665.24494212963</v>
      </c>
      <c r="J412" s="10" t="n">
        <v>45665.24899305555</v>
      </c>
      <c r="K412" s="11" t="n">
        <v>0.004050925925925926</v>
      </c>
      <c r="L412" s="13" t="n"/>
    </row>
    <row r="413">
      <c r="A413" s="3" t="inlineStr">
        <is>
          <t>PushOff</t>
        </is>
      </c>
      <c r="B413" s="3" t="inlineStr">
        <is>
          <t>Act_PO_12018_091024_703</t>
        </is>
      </c>
      <c r="C413" s="3" t="inlineStr">
        <is>
          <t>12018</t>
        </is>
      </c>
      <c r="D413" s="9" t="n">
        <v>176</v>
      </c>
      <c r="E413" s="3" t="n"/>
      <c r="F413" s="3" t="n"/>
      <c r="G413" s="9" t="n"/>
      <c r="H413" s="10" t="n">
        <v>45665.38222222222</v>
      </c>
      <c r="I413" s="10" t="n">
        <v>45665.38309027778</v>
      </c>
      <c r="J413" s="10" t="n">
        <v>45665.38662037037</v>
      </c>
      <c r="K413" s="11" t="n">
        <v>0.003530092592592592</v>
      </c>
      <c r="L413" s="13" t="n"/>
    </row>
    <row r="414">
      <c r="A414" s="3" t="inlineStr">
        <is>
          <t>PushOff</t>
        </is>
      </c>
      <c r="B414" s="3" t="inlineStr">
        <is>
          <t>Act_PO_12019_091721_727</t>
        </is>
      </c>
      <c r="C414" s="3" t="inlineStr">
        <is>
          <t>12019</t>
        </is>
      </c>
      <c r="D414" s="9" t="n">
        <v>144</v>
      </c>
      <c r="E414" s="3" t="n"/>
      <c r="F414" s="3" t="n"/>
      <c r="G414" s="9" t="n"/>
      <c r="H414" s="10" t="n">
        <v>45665.38704861111</v>
      </c>
      <c r="I414" s="10" t="n">
        <v>45665.38791666667</v>
      </c>
      <c r="J414" s="10" t="n">
        <v>45665.38991898148</v>
      </c>
      <c r="K414" s="11" t="n">
        <v>0.002002314814814815</v>
      </c>
      <c r="L414" s="13" t="n"/>
    </row>
    <row r="415">
      <c r="A415" s="3" t="inlineStr">
        <is>
          <t>PushOff</t>
        </is>
      </c>
      <c r="B415" s="3" t="inlineStr">
        <is>
          <t>Act_PO_12020_094124_703</t>
        </is>
      </c>
      <c r="C415" s="3" t="inlineStr">
        <is>
          <t>12020</t>
        </is>
      </c>
      <c r="D415" s="9" t="n">
        <v>192</v>
      </c>
      <c r="E415" s="3" t="n"/>
      <c r="F415" s="3" t="n"/>
      <c r="G415" s="9" t="n"/>
      <c r="H415" s="10" t="n">
        <v>45665.40375</v>
      </c>
      <c r="I415" s="10" t="n">
        <v>45665.40461805555</v>
      </c>
      <c r="J415" s="10" t="n">
        <v>45665.40802083333</v>
      </c>
      <c r="K415" s="11" t="n">
        <v>0.003402777777777778</v>
      </c>
      <c r="L415" s="13" t="n"/>
    </row>
    <row r="416">
      <c r="A416" s="3" t="inlineStr">
        <is>
          <t>PushOff</t>
        </is>
      </c>
      <c r="B416" s="3" t="inlineStr">
        <is>
          <t>Act_PO_12021_094924_727</t>
        </is>
      </c>
      <c r="C416" s="3" t="inlineStr">
        <is>
          <t>12021</t>
        </is>
      </c>
      <c r="D416" s="9" t="n">
        <v>160</v>
      </c>
      <c r="E416" s="3" t="n"/>
      <c r="F416" s="3" t="n"/>
      <c r="G416" s="9" t="n"/>
      <c r="H416" s="10" t="n">
        <v>45665.40930555556</v>
      </c>
      <c r="I416" s="10" t="n">
        <v>45665.41017361111</v>
      </c>
      <c r="J416" s="10" t="n">
        <v>45665.41243055555</v>
      </c>
      <c r="K416" s="11" t="n">
        <v>0.002256944444444444</v>
      </c>
      <c r="L416" s="13" t="n"/>
    </row>
    <row r="417">
      <c r="A417" s="3" t="inlineStr">
        <is>
          <t>PushOff</t>
        </is>
      </c>
      <c r="B417" s="3" t="inlineStr">
        <is>
          <t>Act_PO_12022_101642_703</t>
        </is>
      </c>
      <c r="C417" s="3" t="inlineStr">
        <is>
          <t>12022</t>
        </is>
      </c>
      <c r="D417" s="9" t="n">
        <v>256</v>
      </c>
      <c r="E417" s="3" t="n"/>
      <c r="F417" s="3" t="n"/>
      <c r="G417" s="9" t="n"/>
      <c r="H417" s="10" t="n">
        <v>45665.42826388889</v>
      </c>
      <c r="I417" s="10" t="n">
        <v>45665.42913194445</v>
      </c>
      <c r="J417" s="10" t="n">
        <v>45665.43265046296</v>
      </c>
      <c r="K417" s="11" t="n">
        <v>0.003518518518518518</v>
      </c>
      <c r="L417" s="13" t="n"/>
    </row>
    <row r="418">
      <c r="A418" s="3" t="inlineStr">
        <is>
          <t>PushOff</t>
        </is>
      </c>
      <c r="B418" s="3" t="inlineStr">
        <is>
          <t>Act_PO_12023_142528_703</t>
        </is>
      </c>
      <c r="C418" s="3" t="inlineStr">
        <is>
          <t>12023</t>
        </is>
      </c>
      <c r="D418" s="9" t="n">
        <v>160</v>
      </c>
      <c r="E418" s="3" t="n"/>
      <c r="F418" s="3" t="n"/>
      <c r="G418" s="9" t="n"/>
      <c r="H418" s="10" t="n">
        <v>45665.60101851852</v>
      </c>
      <c r="I418" s="10" t="n">
        <v>45665.60188657408</v>
      </c>
      <c r="J418" s="10" t="n">
        <v>45665.60506944444</v>
      </c>
      <c r="K418" s="11" t="n">
        <v>0.00318287037037037</v>
      </c>
      <c r="L418" s="13" t="n"/>
    </row>
    <row r="419">
      <c r="A419" s="3" t="inlineStr">
        <is>
          <t>PushOff</t>
        </is>
      </c>
      <c r="B419" s="3" t="inlineStr">
        <is>
          <t>Act_PO_12024_180921_703</t>
        </is>
      </c>
      <c r="C419" s="3" t="inlineStr">
        <is>
          <t>12024</t>
        </is>
      </c>
      <c r="D419" s="9" t="n">
        <v>112</v>
      </c>
      <c r="E419" s="3" t="n"/>
      <c r="F419" s="3" t="n"/>
      <c r="G419" s="9" t="n"/>
      <c r="H419" s="10" t="n">
        <v>45665.75649305555</v>
      </c>
      <c r="I419" s="10" t="n">
        <v>45665.75736111111</v>
      </c>
      <c r="J419" s="10" t="n">
        <v>45665.75873842592</v>
      </c>
      <c r="K419" s="11" t="n">
        <v>0.001377314814814815</v>
      </c>
      <c r="L419" s="13" t="n"/>
    </row>
    <row r="420">
      <c r="A420" s="3" t="inlineStr">
        <is>
          <t>PushOff</t>
        </is>
      </c>
      <c r="B420" s="3" t="inlineStr">
        <is>
          <t>Act_PO_12025_214200_703</t>
        </is>
      </c>
      <c r="C420" s="3" t="inlineStr">
        <is>
          <t>12025</t>
        </is>
      </c>
      <c r="D420" s="9" t="n">
        <v>256</v>
      </c>
      <c r="E420" s="3" t="n"/>
      <c r="F420" s="3" t="n"/>
      <c r="G420" s="9" t="n"/>
      <c r="H420" s="10" t="n">
        <v>45665.90416666667</v>
      </c>
      <c r="I420" s="10" t="n">
        <v>45665.90503472222</v>
      </c>
      <c r="J420" s="10" t="n">
        <v>45665.90674768519</v>
      </c>
      <c r="K420" s="11" t="n">
        <v>0.001712962962962963</v>
      </c>
      <c r="L420" s="13" t="n"/>
    </row>
    <row r="421">
      <c r="A421" s="3" t="inlineStr">
        <is>
          <t>PushOff</t>
        </is>
      </c>
      <c r="B421" s="3" t="inlineStr">
        <is>
          <t>Act_PO_12026_050934_703</t>
        </is>
      </c>
      <c r="C421" s="3" t="inlineStr">
        <is>
          <t>12026</t>
        </is>
      </c>
      <c r="D421" s="9" t="n">
        <v>128</v>
      </c>
      <c r="E421" s="3" t="n"/>
      <c r="F421" s="3" t="n"/>
      <c r="G421" s="9" t="n"/>
      <c r="H421" s="10" t="n">
        <v>45666.21497685185</v>
      </c>
      <c r="I421" s="10" t="n">
        <v>45666.2158449074</v>
      </c>
      <c r="J421" s="10" t="n">
        <v>45666.21850694445</v>
      </c>
      <c r="K421" s="11" t="n">
        <v>0.002662037037037037</v>
      </c>
      <c r="L421" s="13" t="n"/>
    </row>
    <row r="422">
      <c r="A422" s="3" t="inlineStr">
        <is>
          <t>PushOff</t>
        </is>
      </c>
      <c r="B422" s="3" t="inlineStr">
        <is>
          <t>Act_PO_12027_051838_727</t>
        </is>
      </c>
      <c r="C422" s="3" t="inlineStr">
        <is>
          <t>12027</t>
        </is>
      </c>
      <c r="D422" s="9" t="n">
        <v>176</v>
      </c>
      <c r="E422" s="3" t="n"/>
      <c r="F422" s="3" t="n"/>
      <c r="G422" s="9" t="n"/>
      <c r="H422" s="10" t="n">
        <v>45666.22127314815</v>
      </c>
      <c r="I422" s="10" t="n">
        <v>45666.2221412037</v>
      </c>
      <c r="J422" s="10" t="n">
        <v>45666.22451388889</v>
      </c>
      <c r="K422" s="11" t="n">
        <v>0.002372685185185185</v>
      </c>
      <c r="L422" s="13" t="n"/>
    </row>
    <row r="423">
      <c r="A423" s="3" t="inlineStr">
        <is>
          <t>PushOff</t>
        </is>
      </c>
      <c r="B423" s="3" t="inlineStr">
        <is>
          <t>Act_PO_12028_053210_703</t>
        </is>
      </c>
      <c r="C423" s="3" t="inlineStr">
        <is>
          <t>12028</t>
        </is>
      </c>
      <c r="D423" s="9" t="n">
        <v>176</v>
      </c>
      <c r="E423" s="3" t="n"/>
      <c r="F423" s="3" t="n"/>
      <c r="G423" s="9" t="n"/>
      <c r="H423" s="10" t="n">
        <v>45666.2306712963</v>
      </c>
      <c r="I423" s="10" t="n">
        <v>45666.23145833334</v>
      </c>
      <c r="J423" s="10" t="n">
        <v>45666.23824074074</v>
      </c>
      <c r="K423" s="11" t="n">
        <v>0.006782407407407407</v>
      </c>
      <c r="L423" s="13" t="n"/>
    </row>
    <row r="424">
      <c r="A424" s="3" t="inlineStr">
        <is>
          <t>PushOff</t>
        </is>
      </c>
      <c r="B424" s="3" t="inlineStr">
        <is>
          <t>Act_PO_12029_053836_727</t>
        </is>
      </c>
      <c r="C424" s="3" t="inlineStr">
        <is>
          <t>12029</t>
        </is>
      </c>
      <c r="D424" s="9" t="n">
        <v>208</v>
      </c>
      <c r="E424" s="3" t="n"/>
      <c r="F424" s="3" t="n"/>
      <c r="G424" s="9" t="n"/>
      <c r="H424" s="10" t="n">
        <v>45666.23513888889</v>
      </c>
      <c r="I424" s="10" t="n">
        <v>45666.2391087963</v>
      </c>
      <c r="J424" s="10" t="n">
        <v>45666.24079861111</v>
      </c>
      <c r="K424" s="11" t="n">
        <v>0.001689814814814815</v>
      </c>
      <c r="L424" s="13" t="n"/>
    </row>
    <row r="425">
      <c r="A425" s="3" t="inlineStr">
        <is>
          <t>PushOff</t>
        </is>
      </c>
      <c r="B425" s="3" t="inlineStr">
        <is>
          <t>Act_PO_12030_054156_725</t>
        </is>
      </c>
      <c r="C425" s="3" t="inlineStr">
        <is>
          <t>12030</t>
        </is>
      </c>
      <c r="D425" s="9" t="n">
        <v>144</v>
      </c>
      <c r="E425" s="3" t="n"/>
      <c r="F425" s="3" t="n"/>
      <c r="G425" s="9" t="n"/>
      <c r="H425" s="10" t="n">
        <v>45666.2374537037</v>
      </c>
      <c r="I425" s="10" t="n">
        <v>45666.24159722222</v>
      </c>
      <c r="J425" s="10" t="n">
        <v>45666.24347222222</v>
      </c>
      <c r="K425" s="11" t="n">
        <v>0.001875</v>
      </c>
      <c r="L425" s="13" t="n"/>
    </row>
    <row r="426">
      <c r="A426" s="3" t="inlineStr">
        <is>
          <t>PushOff</t>
        </is>
      </c>
      <c r="B426" s="3" t="inlineStr">
        <is>
          <t>Act_PO_12031_054643_723</t>
        </is>
      </c>
      <c r="C426" s="3" t="inlineStr">
        <is>
          <t>12031</t>
        </is>
      </c>
      <c r="D426" s="9" t="n">
        <v>96</v>
      </c>
      <c r="E426" s="3" t="n"/>
      <c r="F426" s="3" t="n"/>
      <c r="G426" s="9" t="n"/>
      <c r="H426" s="10" t="n">
        <v>45666.24077546296</v>
      </c>
      <c r="I426" s="10" t="n">
        <v>45666.24435185185</v>
      </c>
      <c r="J426" s="10" t="n">
        <v>45666.24623842593</v>
      </c>
      <c r="K426" s="11" t="n">
        <v>0.001886574074074074</v>
      </c>
      <c r="L426" s="13" t="n"/>
    </row>
    <row r="427">
      <c r="A427" s="3" t="inlineStr">
        <is>
          <t>PushOff</t>
        </is>
      </c>
      <c r="B427" s="3" t="inlineStr">
        <is>
          <t>Act_PO_12032_055502_703</t>
        </is>
      </c>
      <c r="C427" s="3" t="inlineStr">
        <is>
          <t>12032</t>
        </is>
      </c>
      <c r="D427" s="9" t="n">
        <v>160</v>
      </c>
      <c r="E427" s="3" t="n"/>
      <c r="F427" s="3" t="n"/>
      <c r="G427" s="9" t="n"/>
      <c r="H427" s="10" t="n">
        <v>45666.24655092593</v>
      </c>
      <c r="I427" s="10" t="n">
        <v>45666.24797453704</v>
      </c>
      <c r="J427" s="10" t="n">
        <v>45666.25005787037</v>
      </c>
      <c r="K427" s="11" t="n">
        <v>0.002083333333333333</v>
      </c>
      <c r="L427" s="13" t="n"/>
    </row>
    <row r="428">
      <c r="A428" s="3" t="inlineStr">
        <is>
          <t>PushOff</t>
        </is>
      </c>
      <c r="B428" s="3" t="inlineStr">
        <is>
          <t>Act_PO_12033_060256_727</t>
        </is>
      </c>
      <c r="C428" s="3" t="inlineStr">
        <is>
          <t>12033</t>
        </is>
      </c>
      <c r="D428" s="9" t="n">
        <v>176</v>
      </c>
      <c r="E428" s="3" t="n"/>
      <c r="F428" s="3" t="n"/>
      <c r="G428" s="9" t="n"/>
      <c r="H428" s="10" t="n">
        <v>45666.25203703704</v>
      </c>
      <c r="I428" s="10" t="n">
        <v>45666.2529050926</v>
      </c>
      <c r="J428" s="10" t="n">
        <v>45666.25806712963</v>
      </c>
      <c r="K428" s="11" t="n">
        <v>0.005162037037037037</v>
      </c>
      <c r="L428" s="13" t="n"/>
    </row>
    <row r="429">
      <c r="A429" s="3" t="inlineStr">
        <is>
          <t>PushOff</t>
        </is>
      </c>
      <c r="B429" s="3" t="inlineStr">
        <is>
          <t>Act_PO_12034_110932_727</t>
        </is>
      </c>
      <c r="C429" s="3" t="inlineStr">
        <is>
          <t>12034</t>
        </is>
      </c>
      <c r="D429" s="9" t="n">
        <v>176</v>
      </c>
      <c r="E429" s="3" t="n"/>
      <c r="F429" s="3" t="n"/>
      <c r="G429" s="9" t="n"/>
      <c r="H429" s="10" t="n">
        <v>45666.4649537037</v>
      </c>
      <c r="I429" s="10" t="n">
        <v>45666.46582175926</v>
      </c>
      <c r="J429" s="10" t="n">
        <v>45666.46854166667</v>
      </c>
      <c r="K429" s="11" t="n">
        <v>0.002719907407407407</v>
      </c>
      <c r="L429" s="13" t="n"/>
    </row>
    <row r="430">
      <c r="A430" s="3" t="inlineStr">
        <is>
          <t>PushOff</t>
        </is>
      </c>
      <c r="B430" s="3" t="inlineStr">
        <is>
          <t>Act_PO_12035_111216_703</t>
        </is>
      </c>
      <c r="C430" s="3" t="inlineStr">
        <is>
          <t>12035</t>
        </is>
      </c>
      <c r="D430" s="9" t="n">
        <v>192</v>
      </c>
      <c r="E430" s="3" t="n"/>
      <c r="F430" s="3" t="n"/>
      <c r="G430" s="9" t="n"/>
      <c r="H430" s="10" t="n">
        <v>45666.46685185185</v>
      </c>
      <c r="I430" s="10" t="n">
        <v>45666.46940972222</v>
      </c>
      <c r="J430" s="10" t="n">
        <v>45666.47431712963</v>
      </c>
      <c r="K430" s="11" t="n">
        <v>0.004907407407407407</v>
      </c>
      <c r="L430" s="13" t="n"/>
    </row>
    <row r="431">
      <c r="A431" s="3" t="inlineStr">
        <is>
          <t>PushOff</t>
        </is>
      </c>
      <c r="B431" s="3" t="inlineStr">
        <is>
          <t>Act_PO_12036_131230_703</t>
        </is>
      </c>
      <c r="C431" s="3" t="inlineStr">
        <is>
          <t>12036</t>
        </is>
      </c>
      <c r="D431" s="9" t="n">
        <v>288</v>
      </c>
      <c r="E431" s="3" t="n"/>
      <c r="F431" s="3" t="n"/>
      <c r="G431" s="9" t="n"/>
      <c r="H431" s="10" t="n">
        <v>45666.55034722222</v>
      </c>
      <c r="I431" s="10" t="n">
        <v>45666.55113425926</v>
      </c>
      <c r="J431" s="10" t="n">
        <v>45666.55416666667</v>
      </c>
      <c r="K431" s="11" t="n">
        <v>0.003032407407407407</v>
      </c>
      <c r="L431" s="13" t="n"/>
    </row>
    <row r="432">
      <c r="A432" s="3" t="inlineStr">
        <is>
          <t>PushOff</t>
        </is>
      </c>
      <c r="B432" s="3" t="inlineStr">
        <is>
          <t>Act_PO_12037_131805_727</t>
        </is>
      </c>
      <c r="C432" s="3" t="inlineStr">
        <is>
          <t>12037</t>
        </is>
      </c>
      <c r="D432" s="9" t="n">
        <v>176</v>
      </c>
      <c r="E432" s="3" t="n"/>
      <c r="F432" s="3" t="n"/>
      <c r="G432" s="9" t="n"/>
      <c r="H432" s="10" t="n">
        <v>45666.55422453704</v>
      </c>
      <c r="I432" s="10" t="n">
        <v>45666.55509259259</v>
      </c>
      <c r="J432" s="10" t="n">
        <v>45666.56043981481</v>
      </c>
      <c r="K432" s="11" t="n">
        <v>0.005347222222222222</v>
      </c>
      <c r="L432" s="13" t="n"/>
    </row>
    <row r="433">
      <c r="A433" s="3" t="inlineStr">
        <is>
          <t>PushOff</t>
        </is>
      </c>
      <c r="B433" s="3" t="inlineStr">
        <is>
          <t>Act_PO_12038_133358_703</t>
        </is>
      </c>
      <c r="C433" s="3" t="inlineStr">
        <is>
          <t>12038</t>
        </is>
      </c>
      <c r="D433" s="9" t="n">
        <v>80</v>
      </c>
      <c r="E433" s="3" t="n"/>
      <c r="F433" s="3" t="n"/>
      <c r="G433" s="9" t="n"/>
      <c r="H433" s="10" t="n">
        <v>45666.56525462963</v>
      </c>
      <c r="I433" s="10" t="n">
        <v>45666.56612268519</v>
      </c>
      <c r="J433" s="10" t="n">
        <v>45666.56998842592</v>
      </c>
      <c r="K433" s="11" t="n">
        <v>0.003865740740740741</v>
      </c>
      <c r="L433" s="13" t="n"/>
    </row>
    <row r="434">
      <c r="A434" s="3" t="inlineStr">
        <is>
          <t>PushOff</t>
        </is>
      </c>
      <c r="B434" s="3" t="inlineStr">
        <is>
          <t>Act_PO_12039_134859_727</t>
        </is>
      </c>
      <c r="C434" s="3" t="inlineStr">
        <is>
          <t>12039</t>
        </is>
      </c>
      <c r="D434" s="9" t="n">
        <v>192</v>
      </c>
      <c r="E434" s="3" t="n"/>
      <c r="F434" s="3" t="n"/>
      <c r="G434" s="9" t="n"/>
      <c r="H434" s="10" t="n">
        <v>45666.57568287037</v>
      </c>
      <c r="I434" s="10" t="n">
        <v>45666.57655092593</v>
      </c>
      <c r="J434" s="10" t="n">
        <v>45666.58023148148</v>
      </c>
      <c r="K434" s="11" t="n">
        <v>0.003680555555555555</v>
      </c>
      <c r="L434" s="13" t="n"/>
    </row>
    <row r="435">
      <c r="A435" s="3" t="inlineStr">
        <is>
          <t>PushOff</t>
        </is>
      </c>
      <c r="B435" s="3" t="inlineStr">
        <is>
          <t>Act_PO_12040_140207_703</t>
        </is>
      </c>
      <c r="C435" s="3" t="inlineStr">
        <is>
          <t>12040</t>
        </is>
      </c>
      <c r="D435" s="9" t="n">
        <v>192</v>
      </c>
      <c r="E435" s="3" t="n"/>
      <c r="F435" s="3" t="n"/>
      <c r="G435" s="9" t="n"/>
      <c r="H435" s="10" t="n">
        <v>45666.58480324074</v>
      </c>
      <c r="I435" s="10" t="n">
        <v>45666.5856712963</v>
      </c>
      <c r="J435" s="10" t="n">
        <v>45666.59076388889</v>
      </c>
      <c r="K435" s="11" t="n">
        <v>0.005092592592592593</v>
      </c>
      <c r="L435" s="13" t="n"/>
    </row>
    <row r="436">
      <c r="A436" s="3" t="inlineStr">
        <is>
          <t>PushOff</t>
        </is>
      </c>
      <c r="B436" s="3" t="inlineStr">
        <is>
          <t>Act_PO_12041_191013_703</t>
        </is>
      </c>
      <c r="C436" s="3" t="inlineStr">
        <is>
          <t>12041</t>
        </is>
      </c>
      <c r="D436" s="9" t="n">
        <v>144</v>
      </c>
      <c r="E436" s="3" t="n"/>
      <c r="F436" s="3" t="n"/>
      <c r="G436" s="9" t="n"/>
      <c r="H436" s="10" t="n">
        <v>45666.79876157407</v>
      </c>
      <c r="I436" s="10" t="n">
        <v>45666.79952546296</v>
      </c>
      <c r="J436" s="10" t="n">
        <v>45666.8009837963</v>
      </c>
      <c r="K436" s="11" t="n">
        <v>0.001458333333333333</v>
      </c>
      <c r="L436" s="13" t="n"/>
    </row>
    <row r="437">
      <c r="A437" s="3" t="inlineStr">
        <is>
          <t>PushOff</t>
        </is>
      </c>
      <c r="B437" s="3" t="inlineStr">
        <is>
          <t>Act_PO_12042_191740_727</t>
        </is>
      </c>
      <c r="C437" s="3" t="inlineStr">
        <is>
          <t>12042</t>
        </is>
      </c>
      <c r="D437" s="9" t="n">
        <v>272</v>
      </c>
      <c r="E437" s="3" t="n"/>
      <c r="F437" s="3" t="n"/>
      <c r="G437" s="9" t="n"/>
      <c r="H437" s="10" t="n">
        <v>45666.80393518518</v>
      </c>
      <c r="I437" s="10" t="n">
        <v>45666.80469907408</v>
      </c>
      <c r="J437" s="10" t="n">
        <v>45666.80971064815</v>
      </c>
      <c r="K437" s="11" t="n">
        <v>0.005011574074074074</v>
      </c>
      <c r="L437" s="13" t="n"/>
    </row>
    <row r="438">
      <c r="A438" s="3" t="inlineStr">
        <is>
          <t>PushOff</t>
        </is>
      </c>
      <c r="B438" s="3" t="inlineStr">
        <is>
          <t>Act_PO_12043_224006_703</t>
        </is>
      </c>
      <c r="C438" s="3" t="inlineStr">
        <is>
          <t>12043</t>
        </is>
      </c>
      <c r="D438" s="9" t="n">
        <v>160</v>
      </c>
      <c r="E438" s="3" t="n"/>
      <c r="F438" s="3" t="n"/>
      <c r="G438" s="9" t="n"/>
      <c r="H438" s="10" t="n">
        <v>45666.94451388889</v>
      </c>
      <c r="I438" s="10" t="n">
        <v>45666.9453125</v>
      </c>
      <c r="J438" s="10" t="n">
        <v>45666.94737268519</v>
      </c>
      <c r="K438" s="11" t="n">
        <v>0.002060185185185185</v>
      </c>
      <c r="L438" s="13" t="n"/>
    </row>
    <row r="439">
      <c r="A439" s="3" t="inlineStr">
        <is>
          <t>PushOff</t>
        </is>
      </c>
      <c r="B439" s="3" t="inlineStr">
        <is>
          <t>Act_PO_12044_071234_703</t>
        </is>
      </c>
      <c r="C439" s="3" t="inlineStr">
        <is>
          <t>12044</t>
        </is>
      </c>
      <c r="D439" s="9" t="n">
        <v>160</v>
      </c>
      <c r="E439" s="3" t="n"/>
      <c r="F439" s="3" t="n"/>
      <c r="G439" s="9" t="n"/>
      <c r="H439" s="10" t="n">
        <v>45667.30039351852</v>
      </c>
      <c r="I439" s="10" t="n">
        <v>45667.30126157407</v>
      </c>
      <c r="J439" s="10" t="n">
        <v>45667.30680555556</v>
      </c>
      <c r="K439" s="11" t="n">
        <v>0.005543981481481481</v>
      </c>
      <c r="L439" s="13" t="n"/>
    </row>
    <row r="440">
      <c r="A440" s="3" t="inlineStr">
        <is>
          <t>PushOff</t>
        </is>
      </c>
      <c r="B440" s="3" t="inlineStr">
        <is>
          <t>Act_PO_12045_074632_703</t>
        </is>
      </c>
      <c r="C440" s="3" t="inlineStr">
        <is>
          <t>12045</t>
        </is>
      </c>
      <c r="D440" s="9" t="n">
        <v>144</v>
      </c>
      <c r="E440" s="3" t="n"/>
      <c r="F440" s="3" t="n"/>
      <c r="G440" s="9" t="n"/>
      <c r="H440" s="10" t="n">
        <v>45667.32398148148</v>
      </c>
      <c r="I440" s="10" t="n">
        <v>45667.32471064815</v>
      </c>
      <c r="J440" s="10" t="n">
        <v>45667.33033564815</v>
      </c>
      <c r="K440" s="11" t="n">
        <v>0.005625</v>
      </c>
      <c r="L440" s="13" t="n"/>
    </row>
    <row r="441">
      <c r="A441" s="3" t="inlineStr">
        <is>
          <t>PushOff</t>
        </is>
      </c>
      <c r="B441" s="3" t="inlineStr">
        <is>
          <t>Act_PO_12046_083254_703</t>
        </is>
      </c>
      <c r="C441" s="3" t="inlineStr">
        <is>
          <t>12046</t>
        </is>
      </c>
      <c r="D441" s="9" t="n">
        <v>96</v>
      </c>
      <c r="E441" s="3" t="n"/>
      <c r="F441" s="3" t="n"/>
      <c r="G441" s="9" t="n"/>
      <c r="H441" s="10" t="n">
        <v>45667.35618055556</v>
      </c>
      <c r="I441" s="10" t="n">
        <v>45667.35704861111</v>
      </c>
      <c r="J441" s="10" t="n">
        <v>45667.36021990741</v>
      </c>
      <c r="K441" s="11" t="n">
        <v>0.003171296296296296</v>
      </c>
      <c r="L441" s="13" t="n"/>
    </row>
    <row r="442">
      <c r="A442" s="3" t="inlineStr">
        <is>
          <t>PushOff</t>
        </is>
      </c>
      <c r="B442" s="3" t="inlineStr">
        <is>
          <t>Act_PO_12047_091453_703</t>
        </is>
      </c>
      <c r="C442" s="3" t="inlineStr">
        <is>
          <t>12047</t>
        </is>
      </c>
      <c r="D442" s="9" t="n">
        <v>176</v>
      </c>
      <c r="E442" s="3" t="n"/>
      <c r="F442" s="3" t="n"/>
      <c r="G442" s="9" t="n"/>
      <c r="H442" s="10" t="n">
        <v>45667.38533564815</v>
      </c>
      <c r="I442" s="10" t="n">
        <v>45667.38609953703</v>
      </c>
      <c r="J442" s="10" t="n">
        <v>45667.39142361111</v>
      </c>
      <c r="K442" s="11" t="n">
        <v>0.005324074074074074</v>
      </c>
      <c r="L442" s="13" t="n"/>
    </row>
    <row r="443">
      <c r="A443" s="3" t="inlineStr">
        <is>
          <t>PushOff</t>
        </is>
      </c>
      <c r="B443" s="3" t="inlineStr">
        <is>
          <t>Act_PO_12048_131139_727</t>
        </is>
      </c>
      <c r="C443" s="3" t="inlineStr">
        <is>
          <t>12048</t>
        </is>
      </c>
      <c r="D443" s="9" t="n">
        <v>240</v>
      </c>
      <c r="E443" s="3" t="n"/>
      <c r="F443" s="3" t="n"/>
      <c r="G443" s="9" t="n"/>
      <c r="H443" s="10" t="n">
        <v>45667.54975694444</v>
      </c>
      <c r="I443" s="10" t="n">
        <v>45667.550625</v>
      </c>
      <c r="J443" s="10" t="n">
        <v>45667.55578703704</v>
      </c>
      <c r="K443" s="11" t="n">
        <v>0.005162037037037037</v>
      </c>
      <c r="L443" s="13" t="n"/>
    </row>
    <row r="444">
      <c r="A444" s="3" t="inlineStr">
        <is>
          <t>PushOff</t>
        </is>
      </c>
      <c r="B444" s="3" t="inlineStr">
        <is>
          <t>Act_PO_12049_131406_703</t>
        </is>
      </c>
      <c r="C444" s="3" t="inlineStr">
        <is>
          <t>12049</t>
        </is>
      </c>
      <c r="D444" s="9" t="n">
        <v>224</v>
      </c>
      <c r="E444" s="3" t="n"/>
      <c r="F444" s="3" t="n"/>
      <c r="G444" s="9" t="n"/>
      <c r="H444" s="10" t="n">
        <v>45667.55145833334</v>
      </c>
      <c r="I444" s="10" t="n">
        <v>45667.55665509259</v>
      </c>
      <c r="J444" s="10" t="n">
        <v>45667.56440972222</v>
      </c>
      <c r="K444" s="11" t="n">
        <v>0.00775462962962963</v>
      </c>
      <c r="L444" s="13" t="n"/>
    </row>
    <row r="445">
      <c r="A445" s="3" t="inlineStr">
        <is>
          <t>PushOff</t>
        </is>
      </c>
      <c r="B445" s="3" t="inlineStr">
        <is>
          <t>Act_PO_12050_151242_703</t>
        </is>
      </c>
      <c r="C445" s="3" t="inlineStr">
        <is>
          <t>12050</t>
        </is>
      </c>
      <c r="D445" s="9" t="n">
        <v>208</v>
      </c>
      <c r="E445" s="3" t="n"/>
      <c r="F445" s="3" t="n"/>
      <c r="G445" s="9" t="n"/>
      <c r="H445" s="10" t="n">
        <v>45667.63381944445</v>
      </c>
      <c r="I445" s="10" t="n">
        <v>45667.6346875</v>
      </c>
      <c r="J445" s="10" t="n">
        <v>45667.63952546296</v>
      </c>
      <c r="K445" s="11" t="n">
        <v>0.004837962962962963</v>
      </c>
      <c r="L445" s="13" t="n"/>
    </row>
    <row r="446">
      <c r="A446" s="3" t="inlineStr">
        <is>
          <t>PushOff</t>
        </is>
      </c>
      <c r="B446" s="3" t="inlineStr">
        <is>
          <t>Act_PO_12051_155115_703</t>
        </is>
      </c>
      <c r="C446" s="3" t="inlineStr">
        <is>
          <t>12051</t>
        </is>
      </c>
      <c r="D446" s="9" t="n">
        <v>160</v>
      </c>
      <c r="E446" s="3" t="n"/>
      <c r="F446" s="3" t="n"/>
      <c r="G446" s="9" t="n"/>
      <c r="H446" s="10" t="n">
        <v>45667.66059027778</v>
      </c>
      <c r="I446" s="10" t="n">
        <v>45667.66145833334</v>
      </c>
      <c r="J446" s="10" t="n">
        <v>45667.66351851852</v>
      </c>
      <c r="K446" s="11" t="n">
        <v>0.002060185185185185</v>
      </c>
      <c r="L446" s="13" t="n"/>
    </row>
    <row r="447">
      <c r="A447" s="3" t="inlineStr">
        <is>
          <t>PushOff</t>
        </is>
      </c>
      <c r="B447" s="3" t="inlineStr">
        <is>
          <t>Act_PO_12052_162557_703</t>
        </is>
      </c>
      <c r="C447" s="3" t="inlineStr">
        <is>
          <t>12052</t>
        </is>
      </c>
      <c r="D447" s="9" t="n">
        <v>224</v>
      </c>
      <c r="E447" s="3" t="n"/>
      <c r="F447" s="3" t="n"/>
      <c r="G447" s="9" t="n"/>
      <c r="H447" s="10" t="n">
        <v>45667.6846875</v>
      </c>
      <c r="I447" s="10" t="n">
        <v>45667.68555555555</v>
      </c>
      <c r="J447" s="10" t="n">
        <v>45667.69091435185</v>
      </c>
      <c r="K447" s="11" t="n">
        <v>0.005358796296296296</v>
      </c>
      <c r="L447" s="13" t="n"/>
    </row>
    <row r="448">
      <c r="A448" s="3" t="inlineStr">
        <is>
          <t>PushOff</t>
        </is>
      </c>
      <c r="B448" s="3" t="inlineStr">
        <is>
          <t>Act_PO_12053_170519_703</t>
        </is>
      </c>
      <c r="C448" s="3" t="inlineStr">
        <is>
          <t>12053</t>
        </is>
      </c>
      <c r="D448" s="9" t="n">
        <v>128</v>
      </c>
      <c r="E448" s="3" t="n"/>
      <c r="F448" s="3" t="n"/>
      <c r="G448" s="9" t="n"/>
      <c r="H448" s="10" t="n">
        <v>45667.71202546296</v>
      </c>
      <c r="I448" s="10" t="n">
        <v>45667.71289351852</v>
      </c>
      <c r="J448" s="10" t="n">
        <v>45667.71679398148</v>
      </c>
      <c r="K448" s="11" t="n">
        <v>0.003900462962962963</v>
      </c>
      <c r="L448" s="13" t="n"/>
    </row>
    <row r="449">
      <c r="A449" s="3" t="inlineStr">
        <is>
          <t>PushOff</t>
        </is>
      </c>
      <c r="B449" s="3" t="inlineStr">
        <is>
          <t>Act_PO_12054_201007_703</t>
        </is>
      </c>
      <c r="C449" s="3" t="inlineStr">
        <is>
          <t>12054</t>
        </is>
      </c>
      <c r="D449" s="9" t="n">
        <v>144</v>
      </c>
      <c r="E449" s="3" t="n"/>
      <c r="F449" s="3" t="n"/>
      <c r="G449" s="9" t="n"/>
      <c r="H449" s="10" t="n">
        <v>45667.8403587963</v>
      </c>
      <c r="I449" s="10" t="n">
        <v>45667.84122685185</v>
      </c>
      <c r="J449" s="10" t="n">
        <v>45667.84523148148</v>
      </c>
      <c r="K449" s="11" t="n">
        <v>0.00400462962962963</v>
      </c>
      <c r="L449" s="13" t="n"/>
    </row>
    <row r="450">
      <c r="A450" s="3" t="inlineStr">
        <is>
          <t>PushOff</t>
        </is>
      </c>
      <c r="B450" s="3" t="inlineStr">
        <is>
          <t>Act_PO_12055_224050_703</t>
        </is>
      </c>
      <c r="C450" s="3" t="inlineStr">
        <is>
          <t>12055</t>
        </is>
      </c>
      <c r="D450" s="9" t="n">
        <v>96</v>
      </c>
      <c r="E450" s="3" t="n"/>
      <c r="F450" s="3" t="n"/>
      <c r="G450" s="9" t="n"/>
      <c r="H450" s="10" t="n">
        <v>45667.94502314815</v>
      </c>
      <c r="I450" s="10" t="n">
        <v>45667.9458912037</v>
      </c>
      <c r="J450" s="10" t="n">
        <v>45667.95146990741</v>
      </c>
      <c r="K450" s="11" t="n">
        <v>0.005578703703703704</v>
      </c>
      <c r="L450" s="13" t="n"/>
    </row>
    <row r="451">
      <c r="A451" s="3" t="inlineStr">
        <is>
          <t>PushOff</t>
        </is>
      </c>
      <c r="B451" s="3" t="inlineStr">
        <is>
          <t>Act_PO_12056_060937_703</t>
        </is>
      </c>
      <c r="C451" s="3" t="inlineStr">
        <is>
          <t>12056</t>
        </is>
      </c>
      <c r="D451" s="9" t="n">
        <v>112</v>
      </c>
      <c r="E451" s="3" t="n"/>
      <c r="F451" s="3" t="n"/>
      <c r="G451" s="9" t="n"/>
      <c r="H451" s="10" t="n">
        <v>45668.25667824074</v>
      </c>
      <c r="I451" s="10" t="n">
        <v>45668.2575462963</v>
      </c>
      <c r="J451" s="10" t="n">
        <v>45668.25972222222</v>
      </c>
      <c r="K451" s="11" t="n">
        <v>0.002175925925925926</v>
      </c>
      <c r="L451" s="13" t="n"/>
    </row>
    <row r="452">
      <c r="A452" s="3" t="inlineStr">
        <is>
          <t>PushOff</t>
        </is>
      </c>
      <c r="B452" s="3" t="inlineStr">
        <is>
          <t>Act_PO_12057_062342_727</t>
        </is>
      </c>
      <c r="C452" s="3" t="inlineStr">
        <is>
          <t>12057</t>
        </is>
      </c>
      <c r="D452" s="9" t="n">
        <v>128</v>
      </c>
      <c r="E452" s="3" t="n"/>
      <c r="F452" s="3" t="n"/>
      <c r="G452" s="9" t="n"/>
      <c r="H452" s="10" t="n">
        <v>45668.26645833333</v>
      </c>
      <c r="I452" s="10" t="n">
        <v>45668.26732638889</v>
      </c>
      <c r="J452" s="10" t="n">
        <v>45668.2719212963</v>
      </c>
      <c r="K452" s="11" t="n">
        <v>0.004594907407407408</v>
      </c>
      <c r="L452" s="13" t="n"/>
    </row>
    <row r="453">
      <c r="A453" s="3" t="inlineStr">
        <is>
          <t>PushOff</t>
        </is>
      </c>
      <c r="B453" s="3" t="inlineStr">
        <is>
          <t>Act_PO_12058_064052_703</t>
        </is>
      </c>
      <c r="C453" s="3" t="inlineStr">
        <is>
          <t>12058</t>
        </is>
      </c>
      <c r="D453" s="9" t="n">
        <v>128</v>
      </c>
      <c r="E453" s="3" t="n"/>
      <c r="F453" s="3" t="n"/>
      <c r="G453" s="9" t="n"/>
      <c r="H453" s="10" t="n">
        <v>45668.27837962963</v>
      </c>
      <c r="I453" s="10" t="n">
        <v>45668.27924768518</v>
      </c>
      <c r="J453" s="10" t="n">
        <v>45668.28112268518</v>
      </c>
      <c r="K453" s="11" t="n">
        <v>0.001875</v>
      </c>
      <c r="L453" s="13" t="n"/>
    </row>
    <row r="454">
      <c r="A454" s="3" t="inlineStr">
        <is>
          <t>PushOff</t>
        </is>
      </c>
      <c r="B454" s="3" t="inlineStr">
        <is>
          <t>Act_PO_12059_070543_703</t>
        </is>
      </c>
      <c r="C454" s="3" t="inlineStr">
        <is>
          <t>12059</t>
        </is>
      </c>
      <c r="D454" s="9" t="n">
        <v>112</v>
      </c>
      <c r="E454" s="3" t="n"/>
      <c r="F454" s="3" t="n"/>
      <c r="G454" s="9" t="n"/>
      <c r="H454" s="10" t="n">
        <v>45668.29563657408</v>
      </c>
      <c r="I454" s="10" t="n">
        <v>45668.29650462963</v>
      </c>
      <c r="J454" s="10" t="n">
        <v>45668.29848379629</v>
      </c>
      <c r="K454" s="11" t="n">
        <v>0.001979166666666667</v>
      </c>
      <c r="L454" s="13" t="n"/>
    </row>
    <row r="455">
      <c r="A455" s="3" t="inlineStr">
        <is>
          <t>PushOff</t>
        </is>
      </c>
      <c r="B455" s="3" t="inlineStr">
        <is>
          <t>Act_PO_12060_072756_703</t>
        </is>
      </c>
      <c r="C455" s="3" t="inlineStr">
        <is>
          <t>12060</t>
        </is>
      </c>
      <c r="D455" s="9" t="n">
        <v>112</v>
      </c>
      <c r="E455" s="3" t="n"/>
      <c r="F455" s="3" t="n"/>
      <c r="G455" s="9" t="n"/>
      <c r="H455" s="10" t="n">
        <v>45668.31106481481</v>
      </c>
      <c r="I455" s="10" t="n">
        <v>45668.31193287037</v>
      </c>
      <c r="J455" s="10" t="n">
        <v>45668.3171875</v>
      </c>
      <c r="K455" s="11" t="n">
        <v>0.00525462962962963</v>
      </c>
      <c r="L455" s="13" t="n"/>
    </row>
    <row r="456">
      <c r="A456" s="3" t="inlineStr">
        <is>
          <t>PushOff</t>
        </is>
      </c>
      <c r="B456" s="3" t="inlineStr">
        <is>
          <t>Act_PO_12061_120943_703</t>
        </is>
      </c>
      <c r="C456" s="3" t="inlineStr">
        <is>
          <t>12061</t>
        </is>
      </c>
      <c r="D456" s="9" t="n">
        <v>112</v>
      </c>
      <c r="E456" s="3" t="n"/>
      <c r="F456" s="3" t="n"/>
      <c r="G456" s="9" t="n"/>
      <c r="H456" s="10" t="n">
        <v>45668.50674768518</v>
      </c>
      <c r="I456" s="10" t="n">
        <v>45668.50761574074</v>
      </c>
      <c r="J456" s="10" t="n">
        <v>45668.51109953703</v>
      </c>
      <c r="K456" s="11" t="n">
        <v>0.003483796296296296</v>
      </c>
      <c r="L456" s="13" t="n"/>
    </row>
    <row r="457">
      <c r="A457" s="3" t="inlineStr">
        <is>
          <t>PushOff</t>
        </is>
      </c>
      <c r="B457" s="3" t="inlineStr">
        <is>
          <t>Act_PO_12062_122655_703</t>
        </is>
      </c>
      <c r="C457" s="3" t="inlineStr">
        <is>
          <t>12062</t>
        </is>
      </c>
      <c r="D457" s="9" t="n">
        <v>144</v>
      </c>
      <c r="E457" s="3" t="n"/>
      <c r="F457" s="3" t="n"/>
      <c r="G457" s="9" t="n"/>
      <c r="H457" s="10" t="n">
        <v>45668.51869212963</v>
      </c>
      <c r="I457" s="10" t="n">
        <v>45668.51956018519</v>
      </c>
      <c r="J457" s="10" t="n">
        <v>45668.52326388889</v>
      </c>
      <c r="K457" s="11" t="n">
        <v>0.003703703703703704</v>
      </c>
      <c r="L457" s="13" t="n"/>
    </row>
    <row r="458">
      <c r="A458" s="3" t="inlineStr">
        <is>
          <t>PushOff</t>
        </is>
      </c>
      <c r="B458" s="3" t="inlineStr">
        <is>
          <t>Act_PO_12063_123949_727</t>
        </is>
      </c>
      <c r="C458" s="3" t="inlineStr">
        <is>
          <t>12063</t>
        </is>
      </c>
      <c r="D458" s="9" t="n">
        <v>112</v>
      </c>
      <c r="E458" s="3" t="n"/>
      <c r="F458" s="3" t="n"/>
      <c r="G458" s="9" t="n"/>
      <c r="H458" s="10" t="n">
        <v>45668.52765046297</v>
      </c>
      <c r="I458" s="10" t="n">
        <v>45668.52841435185</v>
      </c>
      <c r="J458" s="10" t="n">
        <v>45668.52976851852</v>
      </c>
      <c r="K458" s="11" t="n">
        <v>0.001354166666666667</v>
      </c>
      <c r="L458" s="13" t="n"/>
    </row>
    <row r="459">
      <c r="A459" s="3" t="inlineStr">
        <is>
          <t>PushOff</t>
        </is>
      </c>
      <c r="B459" s="3" t="inlineStr">
        <is>
          <t>Act_PO_12064_124737_703</t>
        </is>
      </c>
      <c r="C459" s="3" t="inlineStr">
        <is>
          <t>12064</t>
        </is>
      </c>
      <c r="D459" s="9" t="n">
        <v>128</v>
      </c>
      <c r="E459" s="3" t="n"/>
      <c r="F459" s="3" t="n"/>
      <c r="G459" s="9" t="n"/>
      <c r="H459" s="10" t="n">
        <v>45668.53306712963</v>
      </c>
      <c r="I459" s="10" t="n">
        <v>45668.53383101852</v>
      </c>
      <c r="J459" s="10" t="n">
        <v>45668.53990740741</v>
      </c>
      <c r="K459" s="11" t="n">
        <v>0.006076388888888889</v>
      </c>
      <c r="L459" s="13" t="n"/>
    </row>
    <row r="460">
      <c r="A460" s="3" t="inlineStr">
        <is>
          <t>PushOff</t>
        </is>
      </c>
      <c r="B460" s="3" t="inlineStr">
        <is>
          <t>Act_PO_12065_130415_727</t>
        </is>
      </c>
      <c r="C460" s="3" t="inlineStr">
        <is>
          <t>12065</t>
        </is>
      </c>
      <c r="D460" s="9" t="n">
        <v>208</v>
      </c>
      <c r="E460" s="3" t="n"/>
      <c r="F460" s="3" t="n"/>
      <c r="G460" s="9" t="n"/>
      <c r="H460" s="10" t="n">
        <v>45668.54461805556</v>
      </c>
      <c r="I460" s="10" t="n">
        <v>45668.54538194444</v>
      </c>
      <c r="J460" s="10" t="n">
        <v>45668.54997685185</v>
      </c>
      <c r="K460" s="11" t="n">
        <v>0.004594907407407408</v>
      </c>
      <c r="L460" s="13" t="n"/>
    </row>
    <row r="461">
      <c r="A461" s="3" t="inlineStr">
        <is>
          <t>PushOff</t>
        </is>
      </c>
      <c r="B461" s="3" t="inlineStr">
        <is>
          <t>Act_PO_12066_131328_703</t>
        </is>
      </c>
      <c r="C461" s="3" t="inlineStr">
        <is>
          <t>12066</t>
        </is>
      </c>
      <c r="D461" s="9" t="n">
        <v>96</v>
      </c>
      <c r="E461" s="3" t="n"/>
      <c r="F461" s="3" t="n"/>
      <c r="G461" s="9" t="n"/>
      <c r="H461" s="10" t="n">
        <v>45668.55101851852</v>
      </c>
      <c r="I461" s="10" t="n">
        <v>45668.5517824074</v>
      </c>
      <c r="J461" s="10" t="n">
        <v>45668.55503472222</v>
      </c>
      <c r="K461" s="11" t="n">
        <v>0.003252314814814815</v>
      </c>
      <c r="L461" s="13" t="n"/>
    </row>
    <row r="462">
      <c r="A462" s="3" t="inlineStr">
        <is>
          <t>PushOff</t>
        </is>
      </c>
      <c r="B462" s="3" t="inlineStr">
        <is>
          <t>Act_PO_12067_180844_703</t>
        </is>
      </c>
      <c r="C462" s="3" t="inlineStr">
        <is>
          <t>12067</t>
        </is>
      </c>
      <c r="D462" s="9" t="n">
        <v>80</v>
      </c>
      <c r="E462" s="3" t="n"/>
      <c r="F462" s="3" t="n"/>
      <c r="G462" s="9" t="n"/>
      <c r="H462" s="10" t="n">
        <v>45668.75606481481</v>
      </c>
      <c r="I462" s="10" t="n">
        <v>45668.75693287037</v>
      </c>
      <c r="J462" s="10" t="n">
        <v>45668.75993055556</v>
      </c>
      <c r="K462" s="11" t="n">
        <v>0.002997685185185185</v>
      </c>
      <c r="L462" s="13" t="n"/>
    </row>
    <row r="463">
      <c r="A463" s="3" t="inlineStr">
        <is>
          <t>PushOff</t>
        </is>
      </c>
      <c r="B463" s="3" t="inlineStr">
        <is>
          <t>Act_PO_12068_211424_703</t>
        </is>
      </c>
      <c r="C463" s="3" t="inlineStr">
        <is>
          <t>12068</t>
        </is>
      </c>
      <c r="D463" s="9" t="n">
        <v>304</v>
      </c>
      <c r="E463" s="3" t="n"/>
      <c r="F463" s="3" t="n"/>
      <c r="G463" s="9" t="n"/>
      <c r="H463" s="10" t="n">
        <v>45668.885</v>
      </c>
      <c r="I463" s="10" t="n">
        <v>45668.88576388889</v>
      </c>
      <c r="J463" s="10" t="n">
        <v>45668.89097222222</v>
      </c>
      <c r="K463" s="11" t="n">
        <v>0.005208333333333333</v>
      </c>
      <c r="L463" s="13" t="n"/>
    </row>
    <row r="464">
      <c r="A464" s="3" t="inlineStr">
        <is>
          <t>PushOff</t>
        </is>
      </c>
      <c r="B464" s="3" t="inlineStr">
        <is>
          <t>Act_PO_12069_233950_703</t>
        </is>
      </c>
      <c r="C464" s="3" t="inlineStr">
        <is>
          <t>12069</t>
        </is>
      </c>
      <c r="D464" s="9" t="n">
        <v>160</v>
      </c>
      <c r="E464" s="3" t="n"/>
      <c r="F464" s="3" t="n"/>
      <c r="G464" s="9" t="n"/>
      <c r="H464" s="10" t="n">
        <v>45668.98599537037</v>
      </c>
      <c r="I464" s="10" t="n">
        <v>45668.98686342593</v>
      </c>
      <c r="J464" s="10" t="n">
        <v>45668.99109953704</v>
      </c>
      <c r="K464" s="11" t="n">
        <v>0.004236111111111112</v>
      </c>
      <c r="L464" s="13" t="n"/>
    </row>
    <row r="465">
      <c r="A465" s="3" t="inlineStr">
        <is>
          <t>PushOff</t>
        </is>
      </c>
      <c r="B465" s="3" t="inlineStr">
        <is>
          <t>Act_PO_12070_081432_703</t>
        </is>
      </c>
      <c r="C465" s="3" t="inlineStr">
        <is>
          <t>12070</t>
        </is>
      </c>
      <c r="D465" s="9" t="n">
        <v>208</v>
      </c>
      <c r="E465" s="3" t="n"/>
      <c r="F465" s="3" t="n"/>
      <c r="G465" s="9" t="n"/>
      <c r="H465" s="10" t="n">
        <v>45669.34342592592</v>
      </c>
      <c r="I465" s="10" t="n">
        <v>45669.34418981482</v>
      </c>
      <c r="J465" s="10" t="n">
        <v>45669.35075231481</v>
      </c>
      <c r="K465" s="11" t="n">
        <v>0.0065625</v>
      </c>
      <c r="L465" s="13" t="n"/>
    </row>
    <row r="466">
      <c r="A466" s="3" t="inlineStr">
        <is>
          <t>PushOff</t>
        </is>
      </c>
      <c r="B466" s="3" t="inlineStr">
        <is>
          <t>Act_PO_12071_093624_703</t>
        </is>
      </c>
      <c r="C466" s="3" t="inlineStr">
        <is>
          <t>12071</t>
        </is>
      </c>
      <c r="D466" s="9" t="n">
        <v>176</v>
      </c>
      <c r="E466" s="3" t="n"/>
      <c r="F466" s="3" t="n"/>
      <c r="G466" s="9" t="n"/>
      <c r="H466" s="10" t="n">
        <v>45669.40027777778</v>
      </c>
      <c r="I466" s="10" t="n">
        <v>45669.40114583333</v>
      </c>
      <c r="J466" s="10" t="n">
        <v>45669.40613425926</v>
      </c>
      <c r="K466" s="11" t="n">
        <v>0.004988425925925926</v>
      </c>
      <c r="L466" s="13" t="n"/>
    </row>
    <row r="467">
      <c r="A467" s="3" t="inlineStr">
        <is>
          <t>PushOff</t>
        </is>
      </c>
      <c r="B467" s="3" t="inlineStr">
        <is>
          <t>Act_PO_12072_101937_703</t>
        </is>
      </c>
      <c r="C467" s="3" t="inlineStr">
        <is>
          <t>12072</t>
        </is>
      </c>
      <c r="D467" s="9" t="n">
        <v>128</v>
      </c>
      <c r="E467" s="3" t="n"/>
      <c r="F467" s="3" t="n"/>
      <c r="G467" s="9" t="n"/>
      <c r="H467" s="10" t="n">
        <v>45669.43028935185</v>
      </c>
      <c r="I467" s="10" t="n">
        <v>45669.43105324074</v>
      </c>
      <c r="J467" s="10" t="n">
        <v>45669.43665509259</v>
      </c>
      <c r="K467" s="11" t="n">
        <v>0.005601851851851852</v>
      </c>
      <c r="L467" s="13" t="n"/>
    </row>
    <row r="468">
      <c r="A468" s="3" t="inlineStr">
        <is>
          <t>PushOff</t>
        </is>
      </c>
      <c r="B468" s="3" t="inlineStr">
        <is>
          <t>Act_PO_12073_111024_703</t>
        </is>
      </c>
      <c r="C468" s="3" t="inlineStr">
        <is>
          <t>12073</t>
        </is>
      </c>
      <c r="D468" s="9" t="n">
        <v>176</v>
      </c>
      <c r="E468" s="3" t="n"/>
      <c r="F468" s="3" t="n"/>
      <c r="G468" s="9" t="n"/>
      <c r="H468" s="10" t="n">
        <v>45669.46555555556</v>
      </c>
      <c r="I468" s="10" t="n">
        <v>45669.46642361111</v>
      </c>
      <c r="J468" s="10" t="n">
        <v>45669.47208333333</v>
      </c>
      <c r="K468" s="11" t="n">
        <v>0.005659722222222222</v>
      </c>
      <c r="L468" s="13" t="n"/>
    </row>
    <row r="469">
      <c r="A469" s="3" t="inlineStr">
        <is>
          <t>PushOff</t>
        </is>
      </c>
      <c r="B469" s="3" t="inlineStr">
        <is>
          <t>Act_PO_12074_120023_703</t>
        </is>
      </c>
      <c r="C469" s="3" t="inlineStr">
        <is>
          <t>12074</t>
        </is>
      </c>
      <c r="D469" s="9" t="n">
        <v>176</v>
      </c>
      <c r="E469" s="3" t="n"/>
      <c r="F469" s="3" t="n"/>
      <c r="G469" s="9" t="n"/>
      <c r="H469" s="10" t="n">
        <v>45669.5002662037</v>
      </c>
      <c r="I469" s="10" t="n">
        <v>45669.50103009259</v>
      </c>
      <c r="J469" s="10" t="n">
        <v>45669.50630787037</v>
      </c>
      <c r="K469" s="11" t="n">
        <v>0.005277777777777778</v>
      </c>
      <c r="L469" s="13" t="n"/>
    </row>
    <row r="470">
      <c r="A470" s="3" t="inlineStr">
        <is>
          <t>PushOff</t>
        </is>
      </c>
      <c r="B470" s="3" t="inlineStr">
        <is>
          <t>Act_PO_12075_161058_703</t>
        </is>
      </c>
      <c r="C470" s="3" t="inlineStr">
        <is>
          <t>12075</t>
        </is>
      </c>
      <c r="D470" s="9" t="n">
        <v>144</v>
      </c>
      <c r="E470" s="3" t="n"/>
      <c r="F470" s="3" t="n"/>
      <c r="G470" s="9" t="n"/>
      <c r="H470" s="10" t="n">
        <v>45669.67428240741</v>
      </c>
      <c r="I470" s="10" t="n">
        <v>45669.67515046296</v>
      </c>
      <c r="J470" s="10" t="n">
        <v>45669.68032407408</v>
      </c>
      <c r="K470" s="11" t="n">
        <v>0.005173611111111111</v>
      </c>
      <c r="L470" s="13" t="n"/>
    </row>
    <row r="471">
      <c r="A471" s="3" t="inlineStr">
        <is>
          <t>PushOff</t>
        </is>
      </c>
      <c r="B471" s="3" t="inlineStr">
        <is>
          <t>Act_PO_12076_191028_703</t>
        </is>
      </c>
      <c r="C471" s="3" t="inlineStr">
        <is>
          <t>12076</t>
        </is>
      </c>
      <c r="D471" s="9" t="n">
        <v>160</v>
      </c>
      <c r="E471" s="3" t="n"/>
      <c r="F471" s="3" t="n"/>
      <c r="G471" s="9" t="n"/>
      <c r="H471" s="10" t="n">
        <v>45669.79893518519</v>
      </c>
      <c r="I471" s="10" t="n">
        <v>45669.79969907407</v>
      </c>
      <c r="J471" s="10" t="n">
        <v>45669.80329861111</v>
      </c>
      <c r="K471" s="11" t="n">
        <v>0.003599537037037037</v>
      </c>
      <c r="L471" s="13" t="n"/>
    </row>
    <row r="472">
      <c r="A472" s="3" t="inlineStr">
        <is>
          <t>PushOff</t>
        </is>
      </c>
      <c r="B472" s="3" t="inlineStr">
        <is>
          <t>Act_PO_12077_221043_703</t>
        </is>
      </c>
      <c r="C472" s="3" t="inlineStr">
        <is>
          <t>12077</t>
        </is>
      </c>
      <c r="D472" s="9" t="n">
        <v>224</v>
      </c>
      <c r="E472" s="3" t="n"/>
      <c r="F472" s="3" t="n"/>
      <c r="G472" s="9" t="n"/>
      <c r="H472" s="10" t="n">
        <v>45669.92410879629</v>
      </c>
      <c r="I472" s="10" t="n">
        <v>45669.92497685185</v>
      </c>
      <c r="J472" s="10" t="n">
        <v>45669.92673611111</v>
      </c>
      <c r="K472" s="11" t="n">
        <v>0.001759259259259259</v>
      </c>
      <c r="L472" s="13" t="n"/>
    </row>
    <row r="473">
      <c r="A473" s="3" t="inlineStr">
        <is>
          <t>PushOffDrive</t>
        </is>
      </c>
      <c r="B473" s="3" t="inlineStr">
        <is>
          <t>Act_POD_1200201_051220_615</t>
        </is>
      </c>
      <c r="C473" s="3" t="inlineStr">
        <is>
          <t>1200201</t>
        </is>
      </c>
      <c r="D473" s="9" t="n">
        <v>64</v>
      </c>
      <c r="E473" s="3" t="inlineStr">
        <is>
          <t>727</t>
        </is>
      </c>
      <c r="F473" s="3" t="inlineStr">
        <is>
          <t>615</t>
        </is>
      </c>
      <c r="G473" s="9" t="n">
        <v>263.09</v>
      </c>
      <c r="H473" s="10" t="n">
        <v>45663.21689814814</v>
      </c>
      <c r="I473" s="10" t="n">
        <v>45663.21689814814</v>
      </c>
      <c r="J473" s="10" t="n">
        <v>45663.21814814815</v>
      </c>
      <c r="K473" s="11" t="n">
        <v>0.00125</v>
      </c>
      <c r="L473" s="13" t="n"/>
    </row>
    <row r="474">
      <c r="A474" s="3" t="inlineStr">
        <is>
          <t>PushOffDrive</t>
        </is>
      </c>
      <c r="B474" s="3" t="inlineStr">
        <is>
          <t>Act_POD_1200202+1200203_051408_613</t>
        </is>
      </c>
      <c r="C474" s="3" t="inlineStr">
        <is>
          <t>1200202+1200203</t>
        </is>
      </c>
      <c r="D474" s="9" t="n">
        <v>96</v>
      </c>
      <c r="E474" s="3" t="inlineStr">
        <is>
          <t>727</t>
        </is>
      </c>
      <c r="F474" s="3" t="inlineStr">
        <is>
          <t>613</t>
        </is>
      </c>
      <c r="G474" s="9" t="n">
        <v>290.6</v>
      </c>
      <c r="H474" s="10" t="n">
        <v>45663.21814814815</v>
      </c>
      <c r="I474" s="10" t="n">
        <v>45663.21814814815</v>
      </c>
      <c r="J474" s="10" t="n">
        <v>45663.21957175926</v>
      </c>
      <c r="K474" s="11" t="n">
        <v>0.001423611111111111</v>
      </c>
      <c r="L474" s="13" t="n"/>
    </row>
    <row r="475">
      <c r="A475" s="3" t="inlineStr">
        <is>
          <t>PushOffDrive</t>
        </is>
      </c>
      <c r="B475" s="3" t="inlineStr">
        <is>
          <t>Act_POD_1200204_051611_615</t>
        </is>
      </c>
      <c r="C475" s="3" t="inlineStr">
        <is>
          <t>1200204</t>
        </is>
      </c>
      <c r="D475" s="9" t="n">
        <v>48</v>
      </c>
      <c r="E475" s="3" t="inlineStr">
        <is>
          <t>727</t>
        </is>
      </c>
      <c r="F475" s="3" t="inlineStr">
        <is>
          <t>615</t>
        </is>
      </c>
      <c r="G475" s="9" t="n">
        <v>263.09</v>
      </c>
      <c r="H475" s="10" t="n">
        <v>45663.21957175926</v>
      </c>
      <c r="I475" s="10" t="n">
        <v>45663.21957175926</v>
      </c>
      <c r="J475" s="10" t="n">
        <v>45663.22078703704</v>
      </c>
      <c r="K475" s="11" t="n">
        <v>0.001215277777777778</v>
      </c>
      <c r="L475" s="13" t="n"/>
    </row>
    <row r="476">
      <c r="A476" s="3" t="inlineStr">
        <is>
          <t>PushOffDrive</t>
        </is>
      </c>
      <c r="B476" s="3" t="inlineStr">
        <is>
          <t>Act_POD_1200101+1200102_051912_627</t>
        </is>
      </c>
      <c r="C476" s="3" t="inlineStr">
        <is>
          <t>1200101+1200102</t>
        </is>
      </c>
      <c r="D476" s="9" t="n">
        <v>112</v>
      </c>
      <c r="E476" s="3" t="inlineStr">
        <is>
          <t>703</t>
        </is>
      </c>
      <c r="F476" s="3" t="inlineStr">
        <is>
          <t>627</t>
        </is>
      </c>
      <c r="G476" s="9" t="n">
        <v>450.42</v>
      </c>
      <c r="H476" s="10" t="n">
        <v>45663.22166666666</v>
      </c>
      <c r="I476" s="10" t="n">
        <v>45663.22166666666</v>
      </c>
      <c r="J476" s="10" t="n">
        <v>45663.2237962963</v>
      </c>
      <c r="K476" s="11" t="n">
        <v>0.00212962962962963</v>
      </c>
      <c r="L476" s="13" t="n"/>
    </row>
    <row r="477">
      <c r="A477" s="3" t="inlineStr">
        <is>
          <t>PushOffDrive</t>
        </is>
      </c>
      <c r="B477" s="3" t="inlineStr">
        <is>
          <t>Act_POD_1200103_052216_625</t>
        </is>
      </c>
      <c r="C477" s="3" t="inlineStr">
        <is>
          <t>1200103</t>
        </is>
      </c>
      <c r="D477" s="9" t="n">
        <v>80</v>
      </c>
      <c r="E477" s="3" t="inlineStr">
        <is>
          <t>703</t>
        </is>
      </c>
      <c r="F477" s="3" t="inlineStr">
        <is>
          <t>625</t>
        </is>
      </c>
      <c r="G477" s="9" t="n">
        <v>477.75</v>
      </c>
      <c r="H477" s="10" t="n">
        <v>45663.2237962963</v>
      </c>
      <c r="I477" s="10" t="n">
        <v>45663.2237962963</v>
      </c>
      <c r="J477" s="10" t="n">
        <v>45663.22597222222</v>
      </c>
      <c r="K477" s="11" t="n">
        <v>0.002175925925925926</v>
      </c>
      <c r="L477" s="13" t="n"/>
    </row>
    <row r="478">
      <c r="A478" s="3" t="inlineStr">
        <is>
          <t>PushOffDrive</t>
        </is>
      </c>
      <c r="B478" s="3" t="inlineStr">
        <is>
          <t>Act_POD_1200104_052524_605</t>
        </is>
      </c>
      <c r="C478" s="3" t="inlineStr">
        <is>
          <t>1200104</t>
        </is>
      </c>
      <c r="D478" s="9" t="n">
        <v>32</v>
      </c>
      <c r="E478" s="3" t="inlineStr">
        <is>
          <t>703</t>
        </is>
      </c>
      <c r="F478" s="3" t="inlineStr">
        <is>
          <t>605</t>
        </is>
      </c>
      <c r="G478" s="9" t="n">
        <v>405.43</v>
      </c>
      <c r="H478" s="10" t="n">
        <v>45663.22597222222</v>
      </c>
      <c r="I478" s="10" t="n">
        <v>45663.22597222222</v>
      </c>
      <c r="J478" s="10" t="n">
        <v>45663.22773148148</v>
      </c>
      <c r="K478" s="11" t="n">
        <v>0.001759259259259259</v>
      </c>
      <c r="L478" s="13" t="n"/>
    </row>
    <row r="479">
      <c r="A479" s="3" t="inlineStr">
        <is>
          <t>PushOffDrive</t>
        </is>
      </c>
      <c r="B479" s="3" t="inlineStr">
        <is>
          <t>Act_POD_1200301+1200302+1200303_074144_615</t>
        </is>
      </c>
      <c r="C479" s="3" t="inlineStr">
        <is>
          <t>1200301+1200302+1200303</t>
        </is>
      </c>
      <c r="D479" s="9" t="n">
        <v>160</v>
      </c>
      <c r="E479" s="3" t="inlineStr">
        <is>
          <t>703</t>
        </is>
      </c>
      <c r="F479" s="3" t="inlineStr">
        <is>
          <t>615</t>
        </is>
      </c>
      <c r="G479" s="9" t="n">
        <v>269.92</v>
      </c>
      <c r="H479" s="10" t="n">
        <v>45663.32064814815</v>
      </c>
      <c r="I479" s="10" t="n">
        <v>45663.32064814815</v>
      </c>
      <c r="J479" s="10" t="n">
        <v>45663.3221412037</v>
      </c>
      <c r="K479" s="11" t="n">
        <v>0.001493055555555556</v>
      </c>
      <c r="L479" s="13" t="n"/>
    </row>
    <row r="480">
      <c r="A480" s="3" t="inlineStr">
        <is>
          <t>PushOffDrive</t>
        </is>
      </c>
      <c r="B480" s="3" t="inlineStr">
        <is>
          <t>Act_POD_1200401+1200402_112532_615</t>
        </is>
      </c>
      <c r="C480" s="3" t="inlineStr">
        <is>
          <t>1200401+1200402</t>
        </is>
      </c>
      <c r="D480" s="9" t="n">
        <v>96</v>
      </c>
      <c r="E480" s="3" t="inlineStr">
        <is>
          <t>703</t>
        </is>
      </c>
      <c r="F480" s="3" t="inlineStr">
        <is>
          <t>615</t>
        </is>
      </c>
      <c r="G480" s="9" t="n">
        <v>269.92</v>
      </c>
      <c r="H480" s="10" t="n">
        <v>45663.47606481481</v>
      </c>
      <c r="I480" s="10" t="n">
        <v>45663.47606481481</v>
      </c>
      <c r="J480" s="10" t="n">
        <v>45663.47741898148</v>
      </c>
      <c r="K480" s="11" t="n">
        <v>0.001354166666666667</v>
      </c>
      <c r="L480" s="13" t="n"/>
    </row>
    <row r="481">
      <c r="A481" s="3" t="inlineStr">
        <is>
          <t>PushOffDrive</t>
        </is>
      </c>
      <c r="B481" s="3" t="inlineStr">
        <is>
          <t>Act_POD_1200501_145838_605</t>
        </is>
      </c>
      <c r="C481" s="3" t="inlineStr">
        <is>
          <t>1200501</t>
        </is>
      </c>
      <c r="D481" s="9" t="n">
        <v>64</v>
      </c>
      <c r="E481" s="3" t="inlineStr">
        <is>
          <t>703</t>
        </is>
      </c>
      <c r="F481" s="3" t="inlineStr">
        <is>
          <t>605</t>
        </is>
      </c>
      <c r="G481" s="9" t="n">
        <v>405.43</v>
      </c>
      <c r="H481" s="10" t="n">
        <v>45663.62405092592</v>
      </c>
      <c r="I481" s="10" t="n">
        <v>45663.62405092592</v>
      </c>
      <c r="J481" s="10" t="n">
        <v>45663.6258912037</v>
      </c>
      <c r="K481" s="11" t="n">
        <v>0.001840277777777778</v>
      </c>
      <c r="L481" s="13" t="n"/>
    </row>
    <row r="482">
      <c r="A482" s="3" t="inlineStr">
        <is>
          <t>PushOffDrive</t>
        </is>
      </c>
      <c r="B482" s="3" t="inlineStr">
        <is>
          <t>Act_POD_1200502+1200503_150117_615</t>
        </is>
      </c>
      <c r="C482" s="3" t="inlineStr">
        <is>
          <t>1200502+1200503</t>
        </is>
      </c>
      <c r="D482" s="9" t="n">
        <v>80</v>
      </c>
      <c r="E482" s="3" t="inlineStr">
        <is>
          <t>703</t>
        </is>
      </c>
      <c r="F482" s="3" t="inlineStr">
        <is>
          <t>615</t>
        </is>
      </c>
      <c r="G482" s="9" t="n">
        <v>269.92</v>
      </c>
      <c r="H482" s="10" t="n">
        <v>45663.6258912037</v>
      </c>
      <c r="I482" s="10" t="n">
        <v>45663.6258912037</v>
      </c>
      <c r="J482" s="10" t="n">
        <v>45663.62719907407</v>
      </c>
      <c r="K482" s="11" t="n">
        <v>0.00130787037037037</v>
      </c>
      <c r="L482" s="13" t="n"/>
    </row>
    <row r="483">
      <c r="A483" s="3" t="inlineStr">
        <is>
          <t>PushOffDrive</t>
        </is>
      </c>
      <c r="B483" s="3" t="inlineStr">
        <is>
          <t>Act_POD_1200504_150310_605</t>
        </is>
      </c>
      <c r="C483" s="3" t="inlineStr">
        <is>
          <t>1200504</t>
        </is>
      </c>
      <c r="D483" s="9" t="n">
        <v>32</v>
      </c>
      <c r="E483" s="3" t="inlineStr">
        <is>
          <t>703</t>
        </is>
      </c>
      <c r="F483" s="3" t="inlineStr">
        <is>
          <t>605</t>
        </is>
      </c>
      <c r="G483" s="9" t="n">
        <v>405.43</v>
      </c>
      <c r="H483" s="10" t="n">
        <v>45663.62719907407</v>
      </c>
      <c r="I483" s="10" t="n">
        <v>45663.62719907407</v>
      </c>
      <c r="J483" s="10" t="n">
        <v>45663.62895833333</v>
      </c>
      <c r="K483" s="11" t="n">
        <v>0.001759259259259259</v>
      </c>
      <c r="L483" s="13" t="n"/>
    </row>
    <row r="484">
      <c r="A484" s="3" t="inlineStr">
        <is>
          <t>PushOffDrive</t>
        </is>
      </c>
      <c r="B484" s="3" t="inlineStr">
        <is>
          <t>Act_POD_1200601_061130_613</t>
        </is>
      </c>
      <c r="C484" s="3" t="inlineStr">
        <is>
          <t>1200601</t>
        </is>
      </c>
      <c r="D484" s="9" t="n">
        <v>48</v>
      </c>
      <c r="E484" s="3" t="inlineStr">
        <is>
          <t>703</t>
        </is>
      </c>
      <c r="F484" s="3" t="inlineStr">
        <is>
          <t>613</t>
        </is>
      </c>
      <c r="G484" s="9" t="n">
        <v>297.43</v>
      </c>
      <c r="H484" s="10" t="n">
        <v>45664.25798611111</v>
      </c>
      <c r="I484" s="10" t="n">
        <v>45664.25798611111</v>
      </c>
      <c r="J484" s="10" t="n">
        <v>45664.2593287037</v>
      </c>
      <c r="K484" s="11" t="n">
        <v>0.001342592592592592</v>
      </c>
      <c r="L484" s="13" t="n"/>
    </row>
    <row r="485">
      <c r="A485" s="3" t="inlineStr">
        <is>
          <t>PushOffDrive</t>
        </is>
      </c>
      <c r="B485" s="3" t="inlineStr">
        <is>
          <t>Act_POD_1200602+1200603_061326_625</t>
        </is>
      </c>
      <c r="C485" s="3" t="inlineStr">
        <is>
          <t>1200602+1200603</t>
        </is>
      </c>
      <c r="D485" s="9" t="n">
        <v>112</v>
      </c>
      <c r="E485" s="3" t="inlineStr">
        <is>
          <t>703</t>
        </is>
      </c>
      <c r="F485" s="3" t="inlineStr">
        <is>
          <t>625</t>
        </is>
      </c>
      <c r="G485" s="9" t="n">
        <v>477.75</v>
      </c>
      <c r="H485" s="10" t="n">
        <v>45664.2593287037</v>
      </c>
      <c r="I485" s="10" t="n">
        <v>45664.2593287037</v>
      </c>
      <c r="J485" s="10" t="n">
        <v>45664.26158564815</v>
      </c>
      <c r="K485" s="11" t="n">
        <v>0.002256944444444444</v>
      </c>
      <c r="L485" s="13" t="n"/>
    </row>
    <row r="486">
      <c r="A486" s="3" t="inlineStr">
        <is>
          <t>PushOffDrive</t>
        </is>
      </c>
      <c r="B486" s="3" t="inlineStr">
        <is>
          <t>Act_POD_1200701+1200702_062523_615</t>
        </is>
      </c>
      <c r="C486" s="3" t="inlineStr">
        <is>
          <t>1200701+1200702</t>
        </is>
      </c>
      <c r="D486" s="9" t="n">
        <v>128</v>
      </c>
      <c r="E486" s="3" t="inlineStr">
        <is>
          <t>727</t>
        </is>
      </c>
      <c r="F486" s="3" t="inlineStr">
        <is>
          <t>615</t>
        </is>
      </c>
      <c r="G486" s="9" t="n">
        <v>263.09</v>
      </c>
      <c r="H486" s="10" t="n">
        <v>45664.26762731482</v>
      </c>
      <c r="I486" s="10" t="n">
        <v>45664.26762731482</v>
      </c>
      <c r="J486" s="10" t="n">
        <v>45664.2690162037</v>
      </c>
      <c r="K486" s="11" t="n">
        <v>0.001388888888888889</v>
      </c>
      <c r="L486" s="13" t="n"/>
    </row>
    <row r="487">
      <c r="A487" s="3" t="inlineStr">
        <is>
          <t>PushOffDrive</t>
        </is>
      </c>
      <c r="B487" s="3" t="inlineStr">
        <is>
          <t>Act_POD_1200801_063511_605</t>
        </is>
      </c>
      <c r="C487" s="3" t="inlineStr">
        <is>
          <t>1200801</t>
        </is>
      </c>
      <c r="D487" s="9" t="n">
        <v>80</v>
      </c>
      <c r="E487" s="3" t="inlineStr">
        <is>
          <t>703</t>
        </is>
      </c>
      <c r="F487" s="3" t="inlineStr">
        <is>
          <t>605</t>
        </is>
      </c>
      <c r="G487" s="9" t="n">
        <v>405.43</v>
      </c>
      <c r="H487" s="10" t="n">
        <v>45664.27443287037</v>
      </c>
      <c r="I487" s="10" t="n">
        <v>45664.27443287037</v>
      </c>
      <c r="J487" s="10" t="n">
        <v>45664.27630787037</v>
      </c>
      <c r="K487" s="11" t="n">
        <v>0.001875</v>
      </c>
      <c r="L487" s="13" t="n"/>
    </row>
    <row r="488">
      <c r="A488" s="3" t="inlineStr">
        <is>
          <t>PushOffDrive</t>
        </is>
      </c>
      <c r="B488" s="3" t="inlineStr">
        <is>
          <t>Act_POD_1200802_063753_627</t>
        </is>
      </c>
      <c r="C488" s="3" t="inlineStr">
        <is>
          <t>1200802</t>
        </is>
      </c>
      <c r="D488" s="9" t="n">
        <v>80</v>
      </c>
      <c r="E488" s="3" t="inlineStr">
        <is>
          <t>703</t>
        </is>
      </c>
      <c r="F488" s="3" t="inlineStr">
        <is>
          <t>627</t>
        </is>
      </c>
      <c r="G488" s="9" t="n">
        <v>450.42</v>
      </c>
      <c r="H488" s="10" t="n">
        <v>45664.27630787037</v>
      </c>
      <c r="I488" s="10" t="n">
        <v>45664.27630787037</v>
      </c>
      <c r="J488" s="10" t="n">
        <v>45664.27836805556</v>
      </c>
      <c r="K488" s="11" t="n">
        <v>0.002060185185185185</v>
      </c>
      <c r="L488" s="13" t="n"/>
    </row>
    <row r="489">
      <c r="A489" s="3" t="inlineStr">
        <is>
          <t>PushOffDrive</t>
        </is>
      </c>
      <c r="B489" s="3" t="inlineStr">
        <is>
          <t>Act_POD_1200803_064051_605</t>
        </is>
      </c>
      <c r="C489" s="3" t="inlineStr">
        <is>
          <t>1200803</t>
        </is>
      </c>
      <c r="D489" s="9" t="n">
        <v>64</v>
      </c>
      <c r="E489" s="3" t="inlineStr">
        <is>
          <t>703</t>
        </is>
      </c>
      <c r="F489" s="3" t="inlineStr">
        <is>
          <t>605</t>
        </is>
      </c>
      <c r="G489" s="9" t="n">
        <v>405.43</v>
      </c>
      <c r="H489" s="10" t="n">
        <v>45664.27836805556</v>
      </c>
      <c r="I489" s="10" t="n">
        <v>45664.27836805556</v>
      </c>
      <c r="J489" s="10" t="n">
        <v>45664.28020833333</v>
      </c>
      <c r="K489" s="11" t="n">
        <v>0.001840277777777778</v>
      </c>
      <c r="L489" s="13" t="n"/>
    </row>
    <row r="490">
      <c r="A490" s="3" t="inlineStr">
        <is>
          <t>PushOffDrive</t>
        </is>
      </c>
      <c r="B490" s="3" t="inlineStr">
        <is>
          <t>Act_POD_1200901_064816_627</t>
        </is>
      </c>
      <c r="C490" s="3" t="inlineStr">
        <is>
          <t>1200901</t>
        </is>
      </c>
      <c r="D490" s="9" t="n">
        <v>32</v>
      </c>
      <c r="E490" s="3" t="inlineStr">
        <is>
          <t>727</t>
        </is>
      </c>
      <c r="F490" s="3" t="inlineStr">
        <is>
          <t>627</t>
        </is>
      </c>
      <c r="G490" s="9" t="n">
        <v>443.59</v>
      </c>
      <c r="H490" s="10" t="n">
        <v>45664.28351851852</v>
      </c>
      <c r="I490" s="10" t="n">
        <v>45664.28351851852</v>
      </c>
      <c r="J490" s="10" t="n">
        <v>45664.28543981481</v>
      </c>
      <c r="K490" s="11" t="n">
        <v>0.001921296296296296</v>
      </c>
      <c r="L490" s="13" t="n"/>
    </row>
    <row r="491">
      <c r="A491" s="3" t="inlineStr">
        <is>
          <t>PushOffDrive</t>
        </is>
      </c>
      <c r="B491" s="3" t="inlineStr">
        <is>
          <t>Act_POD_1200902_065102_623</t>
        </is>
      </c>
      <c r="C491" s="3" t="inlineStr">
        <is>
          <t>1200902</t>
        </is>
      </c>
      <c r="D491" s="9" t="n">
        <v>32</v>
      </c>
      <c r="E491" s="3" t="inlineStr">
        <is>
          <t>727</t>
        </is>
      </c>
      <c r="F491" s="3" t="inlineStr">
        <is>
          <t>623</t>
        </is>
      </c>
      <c r="G491" s="9" t="n">
        <v>405.22</v>
      </c>
      <c r="H491" s="10" t="n">
        <v>45664.28543981481</v>
      </c>
      <c r="I491" s="10" t="n">
        <v>45664.28543981481</v>
      </c>
      <c r="J491" s="10" t="n">
        <v>45664.28719907408</v>
      </c>
      <c r="K491" s="11" t="n">
        <v>0.001759259259259259</v>
      </c>
      <c r="L491" s="13" t="n"/>
    </row>
    <row r="492">
      <c r="A492" s="3" t="inlineStr">
        <is>
          <t>PushOffDrive</t>
        </is>
      </c>
      <c r="B492" s="3" t="inlineStr">
        <is>
          <t>Act_POD_1200903_065334_606</t>
        </is>
      </c>
      <c r="C492" s="3" t="inlineStr">
        <is>
          <t>1200903</t>
        </is>
      </c>
      <c r="D492" s="9" t="n">
        <v>64</v>
      </c>
      <c r="E492" s="3" t="inlineStr">
        <is>
          <t>727</t>
        </is>
      </c>
      <c r="F492" s="3" t="inlineStr">
        <is>
          <t>606</t>
        </is>
      </c>
      <c r="G492" s="9" t="n">
        <v>398.2</v>
      </c>
      <c r="H492" s="10" t="n">
        <v>45664.28719907408</v>
      </c>
      <c r="I492" s="10" t="n">
        <v>45664.28719907408</v>
      </c>
      <c r="J492" s="10" t="n">
        <v>45664.28900462963</v>
      </c>
      <c r="K492" s="11" t="n">
        <v>0.001805555555555555</v>
      </c>
      <c r="L492" s="13" t="n"/>
    </row>
    <row r="493">
      <c r="A493" s="3" t="inlineStr">
        <is>
          <t>PushOffDrive</t>
        </is>
      </c>
      <c r="B493" s="3" t="inlineStr">
        <is>
          <t>Act_POD_1201001+1201002+1201003_070010_619</t>
        </is>
      </c>
      <c r="C493" s="3" t="inlineStr">
        <is>
          <t>1201001+1201002+1201003</t>
        </is>
      </c>
      <c r="D493" s="9" t="n">
        <v>96</v>
      </c>
      <c r="E493" s="3" t="inlineStr">
        <is>
          <t>703</t>
        </is>
      </c>
      <c r="F493" s="3" t="inlineStr">
        <is>
          <t>619</t>
        </is>
      </c>
      <c r="G493" s="9" t="n">
        <v>459.96</v>
      </c>
      <c r="H493" s="10" t="n">
        <v>45664.29178240741</v>
      </c>
      <c r="I493" s="10" t="n">
        <v>45664.29178240741</v>
      </c>
      <c r="J493" s="10" t="n">
        <v>45664.29391203704</v>
      </c>
      <c r="K493" s="11" t="n">
        <v>0.00212962962962963</v>
      </c>
      <c r="L493" s="13" t="n"/>
    </row>
    <row r="494">
      <c r="A494" s="3" t="inlineStr">
        <is>
          <t>PushOffDrive</t>
        </is>
      </c>
      <c r="B494" s="3" t="inlineStr">
        <is>
          <t>Act_POD_1201101+1201102_071150_606</t>
        </is>
      </c>
      <c r="C494" s="3" t="inlineStr">
        <is>
          <t>1201101+1201102</t>
        </is>
      </c>
      <c r="D494" s="9" t="n">
        <v>80</v>
      </c>
      <c r="E494" s="3" t="inlineStr">
        <is>
          <t>727</t>
        </is>
      </c>
      <c r="F494" s="3" t="inlineStr">
        <is>
          <t>606</t>
        </is>
      </c>
      <c r="G494" s="9" t="n">
        <v>398.2</v>
      </c>
      <c r="H494" s="10" t="n">
        <v>45664.29988425926</v>
      </c>
      <c r="I494" s="10" t="n">
        <v>45664.29988425926</v>
      </c>
      <c r="J494" s="10" t="n">
        <v>45664.30172453704</v>
      </c>
      <c r="K494" s="11" t="n">
        <v>0.001840277777777778</v>
      </c>
      <c r="L494" s="13" t="n"/>
    </row>
    <row r="495">
      <c r="A495" s="3" t="inlineStr">
        <is>
          <t>PushOffDrive</t>
        </is>
      </c>
      <c r="B495" s="3" t="inlineStr">
        <is>
          <t>Act_POD_1201103+1201104_071429_623</t>
        </is>
      </c>
      <c r="C495" s="3" t="inlineStr">
        <is>
          <t>1201103+1201104</t>
        </is>
      </c>
      <c r="D495" s="9" t="n">
        <v>112</v>
      </c>
      <c r="E495" s="3" t="inlineStr">
        <is>
          <t>727</t>
        </is>
      </c>
      <c r="F495" s="3" t="inlineStr">
        <is>
          <t>623</t>
        </is>
      </c>
      <c r="G495" s="9" t="n">
        <v>405.22</v>
      </c>
      <c r="H495" s="10" t="n">
        <v>45664.30172453704</v>
      </c>
      <c r="I495" s="10" t="n">
        <v>45664.30172453704</v>
      </c>
      <c r="J495" s="10" t="n">
        <v>45664.30368055555</v>
      </c>
      <c r="K495" s="11" t="n">
        <v>0.001956018518518518</v>
      </c>
      <c r="L495" s="13" t="n"/>
    </row>
    <row r="496">
      <c r="A496" s="3" t="inlineStr">
        <is>
          <t>PushOffDrive</t>
        </is>
      </c>
      <c r="B496" s="3" t="inlineStr">
        <is>
          <t>Act_POD_1201201+1201202+1201203_131050_615</t>
        </is>
      </c>
      <c r="C496" s="3" t="inlineStr">
        <is>
          <t>1201201+1201202+1201203</t>
        </is>
      </c>
      <c r="D496" s="9" t="n">
        <v>128</v>
      </c>
      <c r="E496" s="3" t="inlineStr">
        <is>
          <t>703</t>
        </is>
      </c>
      <c r="F496" s="3" t="inlineStr">
        <is>
          <t>615</t>
        </is>
      </c>
      <c r="G496" s="9" t="n">
        <v>269.92</v>
      </c>
      <c r="H496" s="10" t="n">
        <v>45664.54918981482</v>
      </c>
      <c r="I496" s="10" t="n">
        <v>45664.54918981482</v>
      </c>
      <c r="J496" s="10" t="n">
        <v>45664.55061342593</v>
      </c>
      <c r="K496" s="11" t="n">
        <v>0.001423611111111111</v>
      </c>
      <c r="L496" s="13" t="n"/>
    </row>
    <row r="497">
      <c r="A497" s="3" t="inlineStr">
        <is>
          <t>PushOffDrive</t>
        </is>
      </c>
      <c r="B497" s="3" t="inlineStr">
        <is>
          <t>Act_POD_1201301+1201302_164014_619</t>
        </is>
      </c>
      <c r="C497" s="3" t="inlineStr">
        <is>
          <t>1201301+1201302</t>
        </is>
      </c>
      <c r="D497" s="9" t="n">
        <v>80</v>
      </c>
      <c r="E497" s="3" t="inlineStr">
        <is>
          <t>703</t>
        </is>
      </c>
      <c r="F497" s="3" t="inlineStr">
        <is>
          <t>619</t>
        </is>
      </c>
      <c r="G497" s="9" t="n">
        <v>459.96</v>
      </c>
      <c r="H497" s="10" t="n">
        <v>45664.69460648148</v>
      </c>
      <c r="I497" s="10" t="n">
        <v>45664.69460648148</v>
      </c>
      <c r="J497" s="10" t="n">
        <v>45664.69671296296</v>
      </c>
      <c r="K497" s="11" t="n">
        <v>0.002106481481481481</v>
      </c>
      <c r="L497" s="13" t="n"/>
    </row>
    <row r="498">
      <c r="A498" s="3" t="inlineStr">
        <is>
          <t>PushOffDrive</t>
        </is>
      </c>
      <c r="B498" s="3" t="inlineStr">
        <is>
          <t>Act_POD_1201401_200923_615</t>
        </is>
      </c>
      <c r="C498" s="3" t="inlineStr">
        <is>
          <t>1201401</t>
        </is>
      </c>
      <c r="D498" s="9" t="n">
        <v>32</v>
      </c>
      <c r="E498" s="3" t="inlineStr">
        <is>
          <t>731</t>
        </is>
      </c>
      <c r="F498" s="3" t="inlineStr">
        <is>
          <t>615</t>
        </is>
      </c>
      <c r="G498" s="9" t="n">
        <v>354.81</v>
      </c>
      <c r="H498" s="10" t="n">
        <v>45664.83984953703</v>
      </c>
      <c r="I498" s="10" t="n">
        <v>45664.83984953703</v>
      </c>
      <c r="J498" s="10" t="n">
        <v>45664.84140046296</v>
      </c>
      <c r="K498" s="11" t="n">
        <v>0.001550925925925926</v>
      </c>
      <c r="L498" s="13" t="n"/>
    </row>
    <row r="499">
      <c r="A499" s="3" t="inlineStr">
        <is>
          <t>PushOffDrive</t>
        </is>
      </c>
      <c r="B499" s="3" t="inlineStr">
        <is>
          <t>Act_POD_1201402_201137_613</t>
        </is>
      </c>
      <c r="C499" s="3" t="inlineStr">
        <is>
          <t>1201402</t>
        </is>
      </c>
      <c r="D499" s="9" t="n">
        <v>32</v>
      </c>
      <c r="E499" s="3" t="inlineStr">
        <is>
          <t>731</t>
        </is>
      </c>
      <c r="F499" s="3" t="inlineStr">
        <is>
          <t>613</t>
        </is>
      </c>
      <c r="G499" s="9" t="n">
        <v>382.3200000000001</v>
      </c>
      <c r="H499" s="10" t="n">
        <v>45664.84140046296</v>
      </c>
      <c r="I499" s="10" t="n">
        <v>45664.84140046296</v>
      </c>
      <c r="J499" s="10" t="n">
        <v>45664.84306712963</v>
      </c>
      <c r="K499" s="11" t="n">
        <v>0.001666666666666667</v>
      </c>
      <c r="L499" s="13" t="n"/>
    </row>
    <row r="500">
      <c r="A500" s="3" t="inlineStr">
        <is>
          <t>PushOffDrive</t>
        </is>
      </c>
      <c r="B500" s="3" t="inlineStr">
        <is>
          <t>Act_POD_1201701_054042_627</t>
        </is>
      </c>
      <c r="C500" s="3" t="inlineStr">
        <is>
          <t>1201701</t>
        </is>
      </c>
      <c r="D500" s="9" t="n">
        <v>32</v>
      </c>
      <c r="E500" s="3" t="inlineStr">
        <is>
          <t>731</t>
        </is>
      </c>
      <c r="F500" s="3" t="inlineStr">
        <is>
          <t>627</t>
        </is>
      </c>
      <c r="G500" s="9" t="n">
        <v>535.3099999999999</v>
      </c>
      <c r="H500" s="10" t="n">
        <v>45665.23659722223</v>
      </c>
      <c r="I500" s="10" t="n">
        <v>45665.23659722223</v>
      </c>
      <c r="J500" s="10" t="n">
        <v>45665.23891203704</v>
      </c>
      <c r="K500" s="11" t="n">
        <v>0.002314814814814815</v>
      </c>
      <c r="L500" s="13" t="n"/>
    </row>
    <row r="501">
      <c r="A501" s="3" t="inlineStr">
        <is>
          <t>PushOffDrive</t>
        </is>
      </c>
      <c r="B501" s="3" t="inlineStr">
        <is>
          <t>Act_POD_1201702_054402_625</t>
        </is>
      </c>
      <c r="C501" s="3" t="inlineStr">
        <is>
          <t>1201702</t>
        </is>
      </c>
      <c r="D501" s="9" t="n">
        <v>32</v>
      </c>
      <c r="E501" s="3" t="inlineStr">
        <is>
          <t>731</t>
        </is>
      </c>
      <c r="F501" s="3" t="inlineStr">
        <is>
          <t>625</t>
        </is>
      </c>
      <c r="G501" s="9" t="n">
        <v>562.6400000000001</v>
      </c>
      <c r="H501" s="10" t="n">
        <v>45665.23891203704</v>
      </c>
      <c r="I501" s="10" t="n">
        <v>45665.23891203704</v>
      </c>
      <c r="J501" s="10" t="n">
        <v>45665.24133101852</v>
      </c>
      <c r="K501" s="11" t="n">
        <v>0.002418981481481482</v>
      </c>
      <c r="L501" s="13" t="n"/>
    </row>
    <row r="502">
      <c r="A502" s="3" t="inlineStr">
        <is>
          <t>PushOffDrive</t>
        </is>
      </c>
      <c r="B502" s="3" t="inlineStr">
        <is>
          <t>Act_POD_1201601+1201602_054846_605</t>
        </is>
      </c>
      <c r="C502" s="3" t="inlineStr">
        <is>
          <t>1201601+1201602</t>
        </is>
      </c>
      <c r="D502" s="9" t="n">
        <v>96</v>
      </c>
      <c r="E502" s="3" t="inlineStr">
        <is>
          <t>727</t>
        </is>
      </c>
      <c r="F502" s="3" t="inlineStr">
        <is>
          <t>605</t>
        </is>
      </c>
      <c r="G502" s="9" t="n">
        <v>398.6</v>
      </c>
      <c r="H502" s="10" t="n">
        <v>45665.24219907408</v>
      </c>
      <c r="I502" s="10" t="n">
        <v>45665.24219907408</v>
      </c>
      <c r="J502" s="10" t="n">
        <v>45665.24407407407</v>
      </c>
      <c r="K502" s="11" t="n">
        <v>0.001875</v>
      </c>
      <c r="L502" s="13" t="n"/>
    </row>
    <row r="503">
      <c r="A503" s="3" t="inlineStr">
        <is>
          <t>PushOffDrive</t>
        </is>
      </c>
      <c r="B503" s="3" t="inlineStr">
        <is>
          <t>Act_POD_1201501_055243_613</t>
        </is>
      </c>
      <c r="C503" s="3" t="inlineStr">
        <is>
          <t>1201501</t>
        </is>
      </c>
      <c r="D503" s="9" t="n">
        <v>32</v>
      </c>
      <c r="E503" s="3" t="inlineStr">
        <is>
          <t>703</t>
        </is>
      </c>
      <c r="F503" s="3" t="inlineStr">
        <is>
          <t>613</t>
        </is>
      </c>
      <c r="G503" s="9" t="n">
        <v>297.43</v>
      </c>
      <c r="H503" s="10" t="n">
        <v>45665.24494212963</v>
      </c>
      <c r="I503" s="10" t="n">
        <v>45665.24494212963</v>
      </c>
      <c r="J503" s="10" t="n">
        <v>45665.24626157407</v>
      </c>
      <c r="K503" s="11" t="n">
        <v>0.001319444444444444</v>
      </c>
      <c r="L503" s="13" t="n"/>
    </row>
    <row r="504">
      <c r="A504" s="3" t="inlineStr">
        <is>
          <t>PushOffDrive</t>
        </is>
      </c>
      <c r="B504" s="3" t="inlineStr">
        <is>
          <t>Act_POD_1201502+1201503_055437_615</t>
        </is>
      </c>
      <c r="C504" s="3" t="inlineStr">
        <is>
          <t>1201502+1201503</t>
        </is>
      </c>
      <c r="D504" s="9" t="n">
        <v>96</v>
      </c>
      <c r="E504" s="3" t="inlineStr">
        <is>
          <t>703</t>
        </is>
      </c>
      <c r="F504" s="3" t="inlineStr">
        <is>
          <t>615</t>
        </is>
      </c>
      <c r="G504" s="9" t="n">
        <v>269.92</v>
      </c>
      <c r="H504" s="10" t="n">
        <v>45665.24626157407</v>
      </c>
      <c r="I504" s="10" t="n">
        <v>45665.24626157407</v>
      </c>
      <c r="J504" s="10" t="n">
        <v>45665.24760416667</v>
      </c>
      <c r="K504" s="11" t="n">
        <v>0.001342592592592592</v>
      </c>
      <c r="L504" s="13" t="n"/>
    </row>
    <row r="505">
      <c r="A505" s="3" t="inlineStr">
        <is>
          <t>PushOffDrive</t>
        </is>
      </c>
      <c r="B505" s="3" t="inlineStr">
        <is>
          <t>Act_POD_1201504_055633_613</t>
        </is>
      </c>
      <c r="C505" s="3" t="inlineStr">
        <is>
          <t>1201504</t>
        </is>
      </c>
      <c r="D505" s="9" t="n">
        <v>64</v>
      </c>
      <c r="E505" s="3" t="inlineStr">
        <is>
          <t>703</t>
        </is>
      </c>
      <c r="F505" s="3" t="inlineStr">
        <is>
          <t>613</t>
        </is>
      </c>
      <c r="G505" s="9" t="n">
        <v>297.43</v>
      </c>
      <c r="H505" s="10" t="n">
        <v>45665.24760416667</v>
      </c>
      <c r="I505" s="10" t="n">
        <v>45665.24760416667</v>
      </c>
      <c r="J505" s="10" t="n">
        <v>45665.24899305555</v>
      </c>
      <c r="K505" s="11" t="n">
        <v>0.001388888888888889</v>
      </c>
      <c r="L505" s="13" t="n"/>
    </row>
    <row r="506">
      <c r="A506" s="3" t="inlineStr">
        <is>
          <t>PushOffDrive</t>
        </is>
      </c>
      <c r="B506" s="3" t="inlineStr">
        <is>
          <t>Act_POD_1201801_091139_615</t>
        </is>
      </c>
      <c r="C506" s="3" t="inlineStr">
        <is>
          <t>1201801</t>
        </is>
      </c>
      <c r="D506" s="9" t="n">
        <v>32</v>
      </c>
      <c r="E506" s="3" t="inlineStr">
        <is>
          <t>703</t>
        </is>
      </c>
      <c r="F506" s="3" t="inlineStr">
        <is>
          <t>615</t>
        </is>
      </c>
      <c r="G506" s="9" t="n">
        <v>269.92</v>
      </c>
      <c r="H506" s="10" t="n">
        <v>45665.38309027778</v>
      </c>
      <c r="I506" s="10" t="n">
        <v>45665.38309027778</v>
      </c>
      <c r="J506" s="10" t="n">
        <v>45665.38429398148</v>
      </c>
      <c r="K506" s="11" t="n">
        <v>0.001203703703703704</v>
      </c>
      <c r="L506" s="13" t="n"/>
    </row>
    <row r="507">
      <c r="A507" s="3" t="inlineStr">
        <is>
          <t>PushOffDrive</t>
        </is>
      </c>
      <c r="B507" s="3" t="inlineStr">
        <is>
          <t>Act_POD_1201802+1201803+1201804+1201805_091323_625</t>
        </is>
      </c>
      <c r="C507" s="3" t="inlineStr">
        <is>
          <t>1201802+1201803+1201804+1201805</t>
        </is>
      </c>
      <c r="D507" s="9" t="n">
        <v>144</v>
      </c>
      <c r="E507" s="3" t="inlineStr">
        <is>
          <t>703</t>
        </is>
      </c>
      <c r="F507" s="3" t="inlineStr">
        <is>
          <t>625</t>
        </is>
      </c>
      <c r="G507" s="9" t="n">
        <v>477.75</v>
      </c>
      <c r="H507" s="10" t="n">
        <v>45665.38429398148</v>
      </c>
      <c r="I507" s="10" t="n">
        <v>45665.38429398148</v>
      </c>
      <c r="J507" s="10" t="n">
        <v>45665.38662037037</v>
      </c>
      <c r="K507" s="11" t="n">
        <v>0.002326388888888889</v>
      </c>
      <c r="L507" s="13" t="n"/>
    </row>
    <row r="508">
      <c r="A508" s="3" t="inlineStr">
        <is>
          <t>PushOffDrive</t>
        </is>
      </c>
      <c r="B508" s="3" t="inlineStr">
        <is>
          <t>Act_POD_1201901+1201902+1201903_091836_605</t>
        </is>
      </c>
      <c r="C508" s="3" t="inlineStr">
        <is>
          <t>1201901+1201902+1201903</t>
        </is>
      </c>
      <c r="D508" s="9" t="n">
        <v>144</v>
      </c>
      <c r="E508" s="3" t="inlineStr">
        <is>
          <t>727</t>
        </is>
      </c>
      <c r="F508" s="3" t="inlineStr">
        <is>
          <t>605</t>
        </is>
      </c>
      <c r="G508" s="9" t="n">
        <v>398.6</v>
      </c>
      <c r="H508" s="10" t="n">
        <v>45665.38791666667</v>
      </c>
      <c r="I508" s="10" t="n">
        <v>45665.38791666667</v>
      </c>
      <c r="J508" s="10" t="n">
        <v>45665.38991898148</v>
      </c>
      <c r="K508" s="11" t="n">
        <v>0.002002314814814815</v>
      </c>
      <c r="L508" s="13" t="n"/>
    </row>
    <row r="509">
      <c r="A509" s="3" t="inlineStr">
        <is>
          <t>PushOffDrive</t>
        </is>
      </c>
      <c r="B509" s="3" t="inlineStr">
        <is>
          <t>Act_POD_1202001_094239_613</t>
        </is>
      </c>
      <c r="C509" s="3" t="inlineStr">
        <is>
          <t>1202001</t>
        </is>
      </c>
      <c r="D509" s="9" t="n">
        <v>32</v>
      </c>
      <c r="E509" s="3" t="inlineStr">
        <is>
          <t>703</t>
        </is>
      </c>
      <c r="F509" s="3" t="inlineStr">
        <is>
          <t>613</t>
        </is>
      </c>
      <c r="G509" s="9" t="n">
        <v>297.43</v>
      </c>
      <c r="H509" s="10" t="n">
        <v>45665.40461805555</v>
      </c>
      <c r="I509" s="10" t="n">
        <v>45665.40461805555</v>
      </c>
      <c r="J509" s="10" t="n">
        <v>45665.40592592592</v>
      </c>
      <c r="K509" s="11" t="n">
        <v>0.00130787037037037</v>
      </c>
      <c r="L509" s="13" t="n"/>
    </row>
    <row r="510">
      <c r="A510" s="3" t="inlineStr">
        <is>
          <t>PushOffDrive</t>
        </is>
      </c>
      <c r="B510" s="3" t="inlineStr">
        <is>
          <t>Act_POD_1202002+1202003+1202004_094432_623</t>
        </is>
      </c>
      <c r="C510" s="3" t="inlineStr">
        <is>
          <t>1202002+1202003+1202004</t>
        </is>
      </c>
      <c r="D510" s="9" t="n">
        <v>160</v>
      </c>
      <c r="E510" s="3" t="inlineStr">
        <is>
          <t>703</t>
        </is>
      </c>
      <c r="F510" s="3" t="inlineStr">
        <is>
          <t>623</t>
        </is>
      </c>
      <c r="G510" s="9" t="n">
        <v>412.05</v>
      </c>
      <c r="H510" s="10" t="n">
        <v>45665.40592592592</v>
      </c>
      <c r="I510" s="10" t="n">
        <v>45665.40592592592</v>
      </c>
      <c r="J510" s="10" t="n">
        <v>45665.40802083333</v>
      </c>
      <c r="K510" s="11" t="n">
        <v>0.002094907407407407</v>
      </c>
      <c r="L510" s="13" t="n"/>
    </row>
    <row r="511">
      <c r="A511" s="3" t="inlineStr">
        <is>
          <t>PushOffDrive</t>
        </is>
      </c>
      <c r="B511" s="3" t="inlineStr">
        <is>
          <t>Act_POD_1202101+1202102+1202103_095039_619</t>
        </is>
      </c>
      <c r="C511" s="3" t="inlineStr">
        <is>
          <t>1202101+1202102+1202103</t>
        </is>
      </c>
      <c r="D511" s="9" t="n">
        <v>160</v>
      </c>
      <c r="E511" s="3" t="inlineStr">
        <is>
          <t>727</t>
        </is>
      </c>
      <c r="F511" s="3" t="inlineStr">
        <is>
          <t>619</t>
        </is>
      </c>
      <c r="G511" s="9" t="n">
        <v>453.13</v>
      </c>
      <c r="H511" s="10" t="n">
        <v>45665.41017361111</v>
      </c>
      <c r="I511" s="10" t="n">
        <v>45665.41017361111</v>
      </c>
      <c r="J511" s="10" t="n">
        <v>45665.41243055555</v>
      </c>
      <c r="K511" s="11" t="n">
        <v>0.002256944444444444</v>
      </c>
      <c r="L511" s="13" t="n"/>
    </row>
    <row r="512">
      <c r="A512" s="3" t="inlineStr">
        <is>
          <t>PushOffDrive</t>
        </is>
      </c>
      <c r="B512" s="3" t="inlineStr">
        <is>
          <t>Act_POD_1202201+1202202+1202203_101757_613</t>
        </is>
      </c>
      <c r="C512" s="3" t="inlineStr">
        <is>
          <t>1202201+1202202+1202203</t>
        </is>
      </c>
      <c r="D512" s="9" t="n">
        <v>176</v>
      </c>
      <c r="E512" s="3" t="inlineStr">
        <is>
          <t>703</t>
        </is>
      </c>
      <c r="F512" s="3" t="inlineStr">
        <is>
          <t>613</t>
        </is>
      </c>
      <c r="G512" s="9" t="n">
        <v>297.43</v>
      </c>
      <c r="H512" s="10" t="n">
        <v>45665.42913194445</v>
      </c>
      <c r="I512" s="10" t="n">
        <v>45665.42913194445</v>
      </c>
      <c r="J512" s="10" t="n">
        <v>45665.43078703704</v>
      </c>
      <c r="K512" s="11" t="n">
        <v>0.001655092592592593</v>
      </c>
      <c r="L512" s="13" t="n"/>
    </row>
    <row r="513">
      <c r="A513" s="3" t="inlineStr">
        <is>
          <t>PushOffDrive</t>
        </is>
      </c>
      <c r="B513" s="3" t="inlineStr">
        <is>
          <t>Act_POD_1202204_102020_606</t>
        </is>
      </c>
      <c r="C513" s="3" t="inlineStr">
        <is>
          <t>1202204</t>
        </is>
      </c>
      <c r="D513" s="9" t="n">
        <v>80</v>
      </c>
      <c r="E513" s="3" t="inlineStr">
        <is>
          <t>703</t>
        </is>
      </c>
      <c r="F513" s="3" t="inlineStr">
        <is>
          <t>606</t>
        </is>
      </c>
      <c r="G513" s="9" t="n">
        <v>405.03</v>
      </c>
      <c r="H513" s="10" t="n">
        <v>45665.43078703704</v>
      </c>
      <c r="I513" s="10" t="n">
        <v>45665.43078703704</v>
      </c>
      <c r="J513" s="10" t="n">
        <v>45665.43265046296</v>
      </c>
      <c r="K513" s="11" t="n">
        <v>0.001863425925925926</v>
      </c>
      <c r="L513" s="13" t="n"/>
    </row>
    <row r="514">
      <c r="A514" s="3" t="inlineStr">
        <is>
          <t>PushOffDrive</t>
        </is>
      </c>
      <c r="B514" s="3" t="inlineStr">
        <is>
          <t>Act_POD_1202301_142643_606</t>
        </is>
      </c>
      <c r="C514" s="3" t="inlineStr">
        <is>
          <t>1202301</t>
        </is>
      </c>
      <c r="D514" s="9" t="n">
        <v>48</v>
      </c>
      <c r="E514" s="3" t="inlineStr">
        <is>
          <t>703</t>
        </is>
      </c>
      <c r="F514" s="3" t="inlineStr">
        <is>
          <t>606</t>
        </is>
      </c>
      <c r="G514" s="9" t="n">
        <v>405.03</v>
      </c>
      <c r="H514" s="10" t="n">
        <v>45665.60188657408</v>
      </c>
      <c r="I514" s="10" t="n">
        <v>45665.60188657408</v>
      </c>
      <c r="J514" s="10" t="n">
        <v>45665.60369212963</v>
      </c>
      <c r="K514" s="11" t="n">
        <v>0.001805555555555555</v>
      </c>
      <c r="L514" s="13" t="n"/>
    </row>
    <row r="515">
      <c r="A515" s="3" t="inlineStr">
        <is>
          <t>PushOffDrive</t>
        </is>
      </c>
      <c r="B515" s="3" t="inlineStr">
        <is>
          <t>Act_POD_1202302+1202303_142919_615</t>
        </is>
      </c>
      <c r="C515" s="3" t="inlineStr">
        <is>
          <t>1202302+1202303</t>
        </is>
      </c>
      <c r="D515" s="9" t="n">
        <v>112</v>
      </c>
      <c r="E515" s="3" t="inlineStr">
        <is>
          <t>703</t>
        </is>
      </c>
      <c r="F515" s="3" t="inlineStr">
        <is>
          <t>615</t>
        </is>
      </c>
      <c r="G515" s="9" t="n">
        <v>269.92</v>
      </c>
      <c r="H515" s="10" t="n">
        <v>45665.60369212963</v>
      </c>
      <c r="I515" s="10" t="n">
        <v>45665.60369212963</v>
      </c>
      <c r="J515" s="10" t="n">
        <v>45665.60506944444</v>
      </c>
      <c r="K515" s="11" t="n">
        <v>0.001377314814814815</v>
      </c>
      <c r="L515" s="13" t="n"/>
    </row>
    <row r="516">
      <c r="A516" s="3" t="inlineStr">
        <is>
          <t>PushOffDrive</t>
        </is>
      </c>
      <c r="B516" s="3" t="inlineStr">
        <is>
          <t>Act_POD_1202401+1202402_181036_615</t>
        </is>
      </c>
      <c r="C516" s="3" t="inlineStr">
        <is>
          <t>1202401+1202402</t>
        </is>
      </c>
      <c r="D516" s="9" t="n">
        <v>112</v>
      </c>
      <c r="E516" s="3" t="inlineStr">
        <is>
          <t>703</t>
        </is>
      </c>
      <c r="F516" s="3" t="inlineStr">
        <is>
          <t>615</t>
        </is>
      </c>
      <c r="G516" s="9" t="n">
        <v>269.92</v>
      </c>
      <c r="H516" s="10" t="n">
        <v>45665.75736111111</v>
      </c>
      <c r="I516" s="10" t="n">
        <v>45665.75736111111</v>
      </c>
      <c r="J516" s="10" t="n">
        <v>45665.75873842592</v>
      </c>
      <c r="K516" s="11" t="n">
        <v>0.001377314814814815</v>
      </c>
      <c r="L516" s="13" t="n"/>
    </row>
    <row r="517">
      <c r="A517" s="3" t="inlineStr">
        <is>
          <t>PushOffDrive</t>
        </is>
      </c>
      <c r="B517" s="3" t="inlineStr">
        <is>
          <t>Act_POD_1202501+1202502+1202503+1202504+1202505_214315_615</t>
        </is>
      </c>
      <c r="C517" s="3" t="inlineStr">
        <is>
          <t>1202501+1202502+1202503+1202504+1202505</t>
        </is>
      </c>
      <c r="D517" s="9" t="n">
        <v>256</v>
      </c>
      <c r="E517" s="3" t="inlineStr">
        <is>
          <t>703</t>
        </is>
      </c>
      <c r="F517" s="3" t="inlineStr">
        <is>
          <t>615</t>
        </is>
      </c>
      <c r="G517" s="9" t="n">
        <v>269.92</v>
      </c>
      <c r="H517" s="10" t="n">
        <v>45665.90503472222</v>
      </c>
      <c r="I517" s="10" t="n">
        <v>45665.90503472222</v>
      </c>
      <c r="J517" s="10" t="n">
        <v>45665.90674768519</v>
      </c>
      <c r="K517" s="11" t="n">
        <v>0.001712962962962963</v>
      </c>
      <c r="L517" s="13" t="n"/>
    </row>
    <row r="518">
      <c r="A518" s="3" t="inlineStr">
        <is>
          <t>PushOffDrive</t>
        </is>
      </c>
      <c r="B518" s="3" t="inlineStr">
        <is>
          <t>Act_POD_1202601+1202602_051049_615</t>
        </is>
      </c>
      <c r="C518" s="3" t="inlineStr">
        <is>
          <t>1202601+1202602</t>
        </is>
      </c>
      <c r="D518" s="9" t="n">
        <v>96</v>
      </c>
      <c r="E518" s="3" t="inlineStr">
        <is>
          <t>703</t>
        </is>
      </c>
      <c r="F518" s="3" t="inlineStr">
        <is>
          <t>615</t>
        </is>
      </c>
      <c r="G518" s="9" t="n">
        <v>269.92</v>
      </c>
      <c r="H518" s="10" t="n">
        <v>45666.2158449074</v>
      </c>
      <c r="I518" s="10" t="n">
        <v>45666.2158449074</v>
      </c>
      <c r="J518" s="10" t="n">
        <v>45666.21719907408</v>
      </c>
      <c r="K518" s="11" t="n">
        <v>0.001354166666666667</v>
      </c>
      <c r="L518" s="13" t="n"/>
    </row>
    <row r="519">
      <c r="A519" s="3" t="inlineStr">
        <is>
          <t>PushOffDrive</t>
        </is>
      </c>
      <c r="B519" s="3" t="inlineStr">
        <is>
          <t>Act_POD_1202603_051246_613</t>
        </is>
      </c>
      <c r="C519" s="3" t="inlineStr">
        <is>
          <t>1202603</t>
        </is>
      </c>
      <c r="D519" s="9" t="n">
        <v>32</v>
      </c>
      <c r="E519" s="3" t="inlineStr">
        <is>
          <t>703</t>
        </is>
      </c>
      <c r="F519" s="3" t="inlineStr">
        <is>
          <t>613</t>
        </is>
      </c>
      <c r="G519" s="9" t="n">
        <v>297.43</v>
      </c>
      <c r="H519" s="10" t="n">
        <v>45666.21719907408</v>
      </c>
      <c r="I519" s="10" t="n">
        <v>45666.21719907408</v>
      </c>
      <c r="J519" s="10" t="n">
        <v>45666.21850694445</v>
      </c>
      <c r="K519" s="11" t="n">
        <v>0.00130787037037037</v>
      </c>
      <c r="L519" s="13" t="n"/>
    </row>
    <row r="520">
      <c r="A520" s="3" t="inlineStr">
        <is>
          <t>PushOffDrive</t>
        </is>
      </c>
      <c r="B520" s="3" t="inlineStr">
        <is>
          <t>Act_POD_1202701+1202702+1202703_051953_625</t>
        </is>
      </c>
      <c r="C520" s="3" t="inlineStr">
        <is>
          <t>1202701+1202702+1202703</t>
        </is>
      </c>
      <c r="D520" s="9" t="n">
        <v>176</v>
      </c>
      <c r="E520" s="3" t="inlineStr">
        <is>
          <t>727</t>
        </is>
      </c>
      <c r="F520" s="3" t="inlineStr">
        <is>
          <t>625</t>
        </is>
      </c>
      <c r="G520" s="9" t="n">
        <v>470.92</v>
      </c>
      <c r="H520" s="10" t="n">
        <v>45666.2221412037</v>
      </c>
      <c r="I520" s="10" t="n">
        <v>45666.2221412037</v>
      </c>
      <c r="J520" s="10" t="n">
        <v>45666.22451388889</v>
      </c>
      <c r="K520" s="11" t="n">
        <v>0.002372685185185185</v>
      </c>
      <c r="L520" s="13" t="n"/>
    </row>
    <row r="521">
      <c r="A521" s="3" t="inlineStr">
        <is>
          <t>PushOffDrive</t>
        </is>
      </c>
      <c r="B521" s="3" t="inlineStr">
        <is>
          <t>Act_POD_1202801_053318_615</t>
        </is>
      </c>
      <c r="C521" s="3" t="inlineStr">
        <is>
          <t>1202801</t>
        </is>
      </c>
      <c r="D521" s="9" t="n">
        <v>48</v>
      </c>
      <c r="E521" s="3" t="inlineStr">
        <is>
          <t>703</t>
        </is>
      </c>
      <c r="F521" s="3" t="inlineStr">
        <is>
          <t>615</t>
        </is>
      </c>
      <c r="G521" s="9" t="n">
        <v>269.92</v>
      </c>
      <c r="H521" s="10" t="n">
        <v>45666.23145833334</v>
      </c>
      <c r="I521" s="10" t="n">
        <v>45666.23145833334</v>
      </c>
      <c r="J521" s="10" t="n">
        <v>45666.23269675926</v>
      </c>
      <c r="K521" s="11" t="n">
        <v>0.001238425925925926</v>
      </c>
      <c r="L521" s="13" t="n"/>
    </row>
    <row r="522">
      <c r="A522" s="3" t="inlineStr">
        <is>
          <t>PushOffDrive</t>
        </is>
      </c>
      <c r="B522" s="3" t="inlineStr">
        <is>
          <t>Act_POD_1202802_053505_605</t>
        </is>
      </c>
      <c r="C522" s="3" t="inlineStr">
        <is>
          <t>1202802</t>
        </is>
      </c>
      <c r="D522" s="9" t="n">
        <v>48</v>
      </c>
      <c r="E522" s="3" t="inlineStr">
        <is>
          <t>703</t>
        </is>
      </c>
      <c r="F522" s="3" t="inlineStr">
        <is>
          <t>605</t>
        </is>
      </c>
      <c r="G522" s="9" t="n">
        <v>405.43</v>
      </c>
      <c r="H522" s="10" t="n">
        <v>45666.23269675926</v>
      </c>
      <c r="I522" s="10" t="n">
        <v>45666.23269675926</v>
      </c>
      <c r="J522" s="10" t="n">
        <v>45666.23449074074</v>
      </c>
      <c r="K522" s="11" t="n">
        <v>0.001793981481481481</v>
      </c>
      <c r="L522" s="13" t="n"/>
    </row>
    <row r="523">
      <c r="A523" s="3" t="inlineStr">
        <is>
          <t>PushOffDrive</t>
        </is>
      </c>
      <c r="B523" s="3" t="inlineStr">
        <is>
          <t>Act_POD_1202803_053740_627</t>
        </is>
      </c>
      <c r="C523" s="3" t="inlineStr">
        <is>
          <t>1202803</t>
        </is>
      </c>
      <c r="D523" s="9" t="n">
        <v>48</v>
      </c>
      <c r="E523" s="3" t="inlineStr">
        <is>
          <t>703</t>
        </is>
      </c>
      <c r="F523" s="3" t="inlineStr">
        <is>
          <t>627</t>
        </is>
      </c>
      <c r="G523" s="9" t="n">
        <v>450.42</v>
      </c>
      <c r="H523" s="10" t="n">
        <v>45666.23449074074</v>
      </c>
      <c r="I523" s="10" t="n">
        <v>45666.23449074074</v>
      </c>
      <c r="J523" s="10" t="n">
        <v>45666.23648148148</v>
      </c>
      <c r="K523" s="11" t="n">
        <v>0.001990740740740741</v>
      </c>
      <c r="L523" s="13" t="n"/>
    </row>
    <row r="524">
      <c r="A524" s="3" t="inlineStr">
        <is>
          <t>PushOffDrive</t>
        </is>
      </c>
      <c r="B524" s="3" t="inlineStr">
        <is>
          <t>Act_POD_1202804_054032_605</t>
        </is>
      </c>
      <c r="C524" s="3" t="inlineStr">
        <is>
          <t>1202804</t>
        </is>
      </c>
      <c r="D524" s="9" t="n">
        <v>32</v>
      </c>
      <c r="E524" s="3" t="inlineStr">
        <is>
          <t>703</t>
        </is>
      </c>
      <c r="F524" s="3" t="inlineStr">
        <is>
          <t>605</t>
        </is>
      </c>
      <c r="G524" s="9" t="n">
        <v>405.43</v>
      </c>
      <c r="H524" s="10" t="n">
        <v>45666.23648148148</v>
      </c>
      <c r="I524" s="10" t="n">
        <v>45666.23648148148</v>
      </c>
      <c r="J524" s="10" t="n">
        <v>45666.23824074074</v>
      </c>
      <c r="K524" s="11" t="n">
        <v>0.001759259259259259</v>
      </c>
      <c r="L524" s="13" t="n"/>
    </row>
    <row r="525">
      <c r="A525" s="3" t="inlineStr">
        <is>
          <t>PushOffDrive</t>
        </is>
      </c>
      <c r="B525" s="3" t="inlineStr">
        <is>
          <t>Act_POD_1202901+1202902+1202903+1202904_054419_613</t>
        </is>
      </c>
      <c r="C525" s="3" t="inlineStr">
        <is>
          <t>1202901+1202902+1202903+1202904</t>
        </is>
      </c>
      <c r="D525" s="9" t="n">
        <v>208</v>
      </c>
      <c r="E525" s="3" t="inlineStr">
        <is>
          <t>727</t>
        </is>
      </c>
      <c r="F525" s="3" t="inlineStr">
        <is>
          <t>613</t>
        </is>
      </c>
      <c r="G525" s="9" t="n">
        <v>290.6</v>
      </c>
      <c r="H525" s="10" t="n">
        <v>45666.2391087963</v>
      </c>
      <c r="I525" s="10" t="n">
        <v>45666.2391087963</v>
      </c>
      <c r="J525" s="10" t="n">
        <v>45666.24079861111</v>
      </c>
      <c r="K525" s="11" t="n">
        <v>0.001689814814814815</v>
      </c>
      <c r="L525" s="13" t="n"/>
    </row>
    <row r="526">
      <c r="A526" s="3" t="inlineStr">
        <is>
          <t>PushOffDrive</t>
        </is>
      </c>
      <c r="B526" s="3" t="inlineStr">
        <is>
          <t>Act_POD_1203001+1203002+1203003_054754_605</t>
        </is>
      </c>
      <c r="C526" s="3" t="inlineStr">
        <is>
          <t>1203001+1203002+1203003</t>
        </is>
      </c>
      <c r="D526" s="9" t="n">
        <v>144</v>
      </c>
      <c r="E526" s="3" t="inlineStr">
        <is>
          <t>725</t>
        </is>
      </c>
      <c r="F526" s="3" t="inlineStr">
        <is>
          <t>605</t>
        </is>
      </c>
      <c r="G526" s="9" t="n">
        <v>371.24</v>
      </c>
      <c r="H526" s="10" t="n">
        <v>45666.24159722222</v>
      </c>
      <c r="I526" s="10" t="n">
        <v>45666.24159722222</v>
      </c>
      <c r="J526" s="10" t="n">
        <v>45666.24347222222</v>
      </c>
      <c r="K526" s="11" t="n">
        <v>0.001875</v>
      </c>
      <c r="L526" s="13" t="n"/>
    </row>
    <row r="527">
      <c r="A527" s="3" t="inlineStr">
        <is>
          <t>PushOffDrive</t>
        </is>
      </c>
      <c r="B527" s="3" t="inlineStr">
        <is>
          <t>Act_POD_1203101+1203102+1203103_055152_619</t>
        </is>
      </c>
      <c r="C527" s="3" t="inlineStr">
        <is>
          <t>1203101+1203102+1203103</t>
        </is>
      </c>
      <c r="D527" s="9" t="n">
        <v>96</v>
      </c>
      <c r="E527" s="3" t="inlineStr">
        <is>
          <t>723</t>
        </is>
      </c>
      <c r="F527" s="3" t="inlineStr">
        <is>
          <t>619</t>
        </is>
      </c>
      <c r="G527" s="9" t="n">
        <v>398.9</v>
      </c>
      <c r="H527" s="10" t="n">
        <v>45666.24435185185</v>
      </c>
      <c r="I527" s="10" t="n">
        <v>45666.24435185185</v>
      </c>
      <c r="J527" s="10" t="n">
        <v>45666.24623842593</v>
      </c>
      <c r="K527" s="11" t="n">
        <v>0.001886574074074074</v>
      </c>
      <c r="L527" s="13" t="n"/>
    </row>
    <row r="528">
      <c r="A528" s="3" t="inlineStr">
        <is>
          <t>PushOffDrive</t>
        </is>
      </c>
      <c r="B528" s="3" t="inlineStr">
        <is>
          <t>Act_POD_1203201+1203202+1203203_055705_623</t>
        </is>
      </c>
      <c r="C528" s="3" t="inlineStr">
        <is>
          <t>1203201+1203202+1203203</t>
        </is>
      </c>
      <c r="D528" s="9" t="n">
        <v>160</v>
      </c>
      <c r="E528" s="3" t="inlineStr">
        <is>
          <t>703</t>
        </is>
      </c>
      <c r="F528" s="3" t="inlineStr">
        <is>
          <t>623</t>
        </is>
      </c>
      <c r="G528" s="9" t="n">
        <v>412.05</v>
      </c>
      <c r="H528" s="10" t="n">
        <v>45666.24797453704</v>
      </c>
      <c r="I528" s="10" t="n">
        <v>45666.24797453704</v>
      </c>
      <c r="J528" s="10" t="n">
        <v>45666.25005787037</v>
      </c>
      <c r="K528" s="11" t="n">
        <v>0.002083333333333333</v>
      </c>
      <c r="L528" s="13" t="n"/>
    </row>
    <row r="529">
      <c r="A529" s="3" t="inlineStr">
        <is>
          <t>PushOffDrive</t>
        </is>
      </c>
      <c r="B529" s="3" t="inlineStr">
        <is>
          <t>Act_POD_1203301_060411_607</t>
        </is>
      </c>
      <c r="C529" s="3" t="inlineStr">
        <is>
          <t>1203301</t>
        </is>
      </c>
      <c r="D529" s="9" t="n">
        <v>80</v>
      </c>
      <c r="E529" s="3" t="inlineStr">
        <is>
          <t>727</t>
        </is>
      </c>
      <c r="F529" s="3" t="inlineStr">
        <is>
          <t>607</t>
        </is>
      </c>
      <c r="G529" s="9" t="n">
        <v>371.57</v>
      </c>
      <c r="H529" s="10" t="n">
        <v>45666.2529050926</v>
      </c>
      <c r="I529" s="10" t="n">
        <v>45666.2529050926</v>
      </c>
      <c r="J529" s="10" t="n">
        <v>45666.2546412037</v>
      </c>
      <c r="K529" s="11" t="n">
        <v>0.001736111111111111</v>
      </c>
      <c r="L529" s="13" t="n"/>
    </row>
    <row r="530">
      <c r="A530" s="3" t="inlineStr">
        <is>
          <t>PushOffDrive</t>
        </is>
      </c>
      <c r="B530" s="3" t="inlineStr">
        <is>
          <t>Act_POD_1203302_060641_606</t>
        </is>
      </c>
      <c r="C530" s="3" t="inlineStr">
        <is>
          <t>1203302</t>
        </is>
      </c>
      <c r="D530" s="9" t="n">
        <v>48</v>
      </c>
      <c r="E530" s="3" t="inlineStr">
        <is>
          <t>727</t>
        </is>
      </c>
      <c r="F530" s="3" t="inlineStr">
        <is>
          <t>606</t>
        </is>
      </c>
      <c r="G530" s="9" t="n">
        <v>398.2</v>
      </c>
      <c r="H530" s="10" t="n">
        <v>45666.2546412037</v>
      </c>
      <c r="I530" s="10" t="n">
        <v>45666.2546412037</v>
      </c>
      <c r="J530" s="10" t="n">
        <v>45666.25641203704</v>
      </c>
      <c r="K530" s="11" t="n">
        <v>0.001770833333333333</v>
      </c>
      <c r="L530" s="13" t="n"/>
    </row>
    <row r="531">
      <c r="A531" s="3" t="inlineStr">
        <is>
          <t>PushOffDrive</t>
        </is>
      </c>
      <c r="B531" s="3" t="inlineStr">
        <is>
          <t>Act_POD_1203303_060914_607</t>
        </is>
      </c>
      <c r="C531" s="3" t="inlineStr">
        <is>
          <t>1203303</t>
        </is>
      </c>
      <c r="D531" s="9" t="n">
        <v>48</v>
      </c>
      <c r="E531" s="3" t="inlineStr">
        <is>
          <t>727</t>
        </is>
      </c>
      <c r="F531" s="3" t="inlineStr">
        <is>
          <t>607</t>
        </is>
      </c>
      <c r="G531" s="9" t="n">
        <v>371.57</v>
      </c>
      <c r="H531" s="10" t="n">
        <v>45666.25641203704</v>
      </c>
      <c r="I531" s="10" t="n">
        <v>45666.25641203704</v>
      </c>
      <c r="J531" s="10" t="n">
        <v>45666.25806712963</v>
      </c>
      <c r="K531" s="11" t="n">
        <v>0.001655092592592593</v>
      </c>
      <c r="L531" s="13" t="n"/>
    </row>
    <row r="532">
      <c r="A532" s="3" t="inlineStr">
        <is>
          <t>PushOffDrive</t>
        </is>
      </c>
      <c r="B532" s="3" t="inlineStr">
        <is>
          <t>Act_POD_1203401+1203402+1203403_111047_615</t>
        </is>
      </c>
      <c r="C532" s="3" t="inlineStr">
        <is>
          <t>1203401+1203402+1203403</t>
        </is>
      </c>
      <c r="D532" s="9" t="n">
        <v>128</v>
      </c>
      <c r="E532" s="3" t="inlineStr">
        <is>
          <t>727</t>
        </is>
      </c>
      <c r="F532" s="3" t="inlineStr">
        <is>
          <t>615</t>
        </is>
      </c>
      <c r="G532" s="9" t="n">
        <v>263.09</v>
      </c>
      <c r="H532" s="10" t="n">
        <v>45666.46582175926</v>
      </c>
      <c r="I532" s="10" t="n">
        <v>45666.46582175926</v>
      </c>
      <c r="J532" s="10" t="n">
        <v>45666.46722222222</v>
      </c>
      <c r="K532" s="11" t="n">
        <v>0.001400462962962963</v>
      </c>
      <c r="L532" s="13" t="n"/>
    </row>
    <row r="533">
      <c r="A533" s="3" t="inlineStr">
        <is>
          <t>PushOffDrive</t>
        </is>
      </c>
      <c r="B533" s="3" t="inlineStr">
        <is>
          <t>Act_POD_1203404_111248_613</t>
        </is>
      </c>
      <c r="C533" s="3" t="inlineStr">
        <is>
          <t>1203404</t>
        </is>
      </c>
      <c r="D533" s="9" t="n">
        <v>48</v>
      </c>
      <c r="E533" s="3" t="inlineStr">
        <is>
          <t>727</t>
        </is>
      </c>
      <c r="F533" s="3" t="inlineStr">
        <is>
          <t>613</t>
        </is>
      </c>
      <c r="G533" s="9" t="n">
        <v>290.6</v>
      </c>
      <c r="H533" s="10" t="n">
        <v>45666.46722222222</v>
      </c>
      <c r="I533" s="10" t="n">
        <v>45666.46722222222</v>
      </c>
      <c r="J533" s="10" t="n">
        <v>45666.46854166667</v>
      </c>
      <c r="K533" s="11" t="n">
        <v>0.001319444444444444</v>
      </c>
      <c r="L533" s="13" t="n"/>
    </row>
    <row r="534">
      <c r="A534" s="3" t="inlineStr">
        <is>
          <t>PushOffDrive</t>
        </is>
      </c>
      <c r="B534" s="3" t="inlineStr">
        <is>
          <t>Act_POD_1203501_111557_613</t>
        </is>
      </c>
      <c r="C534" s="3" t="inlineStr">
        <is>
          <t>1203501</t>
        </is>
      </c>
      <c r="D534" s="9" t="n">
        <v>48</v>
      </c>
      <c r="E534" s="3" t="inlineStr">
        <is>
          <t>703</t>
        </is>
      </c>
      <c r="F534" s="3" t="inlineStr">
        <is>
          <t>613</t>
        </is>
      </c>
      <c r="G534" s="9" t="n">
        <v>297.43</v>
      </c>
      <c r="H534" s="10" t="n">
        <v>45666.46940972222</v>
      </c>
      <c r="I534" s="10" t="n">
        <v>45666.46940972222</v>
      </c>
      <c r="J534" s="10" t="n">
        <v>45666.47076388889</v>
      </c>
      <c r="K534" s="11" t="n">
        <v>0.001354166666666667</v>
      </c>
      <c r="L534" s="13" t="n"/>
    </row>
    <row r="535">
      <c r="A535" s="3" t="inlineStr">
        <is>
          <t>PushOffDrive</t>
        </is>
      </c>
      <c r="B535" s="3" t="inlineStr">
        <is>
          <t>Act_POD_1203502_111754_625</t>
        </is>
      </c>
      <c r="C535" s="3" t="inlineStr">
        <is>
          <t>1203502</t>
        </is>
      </c>
      <c r="D535" s="9" t="n">
        <v>32</v>
      </c>
      <c r="E535" s="3" t="inlineStr">
        <is>
          <t>703</t>
        </is>
      </c>
      <c r="F535" s="3" t="inlineStr">
        <is>
          <t>625</t>
        </is>
      </c>
      <c r="G535" s="9" t="n">
        <v>477.75</v>
      </c>
      <c r="H535" s="10" t="n">
        <v>45666.47076388889</v>
      </c>
      <c r="I535" s="10" t="n">
        <v>45666.47076388889</v>
      </c>
      <c r="J535" s="10" t="n">
        <v>45666.47282407407</v>
      </c>
      <c r="K535" s="11" t="n">
        <v>0.002060185185185185</v>
      </c>
      <c r="L535" s="13" t="n"/>
    </row>
    <row r="536">
      <c r="A536" s="3" t="inlineStr">
        <is>
          <t>PushOffDrive</t>
        </is>
      </c>
      <c r="B536" s="3" t="inlineStr">
        <is>
          <t>Act_POD_1203503+1203504_112052_613</t>
        </is>
      </c>
      <c r="C536" s="3" t="inlineStr">
        <is>
          <t>1203503+1203504</t>
        </is>
      </c>
      <c r="D536" s="9" t="n">
        <v>112</v>
      </c>
      <c r="E536" s="3" t="inlineStr">
        <is>
          <t>703</t>
        </is>
      </c>
      <c r="F536" s="3" t="inlineStr">
        <is>
          <t>613</t>
        </is>
      </c>
      <c r="G536" s="9" t="n">
        <v>297.43</v>
      </c>
      <c r="H536" s="10" t="n">
        <v>45666.47282407407</v>
      </c>
      <c r="I536" s="10" t="n">
        <v>45666.47282407407</v>
      </c>
      <c r="J536" s="10" t="n">
        <v>45666.47431712963</v>
      </c>
      <c r="K536" s="11" t="n">
        <v>0.001493055555555556</v>
      </c>
      <c r="L536" s="13" t="n"/>
    </row>
    <row r="537">
      <c r="A537" s="3" t="inlineStr">
        <is>
          <t>PushOffDrive</t>
        </is>
      </c>
      <c r="B537" s="3" t="inlineStr">
        <is>
          <t>Act_POD_1203601+1203602_131338_615</t>
        </is>
      </c>
      <c r="C537" s="3" t="inlineStr">
        <is>
          <t>1203601+1203602</t>
        </is>
      </c>
      <c r="D537" s="9" t="n">
        <v>80</v>
      </c>
      <c r="E537" s="3" t="inlineStr">
        <is>
          <t>703</t>
        </is>
      </c>
      <c r="F537" s="3" t="inlineStr">
        <is>
          <t>615</t>
        </is>
      </c>
      <c r="G537" s="9" t="n">
        <v>269.92</v>
      </c>
      <c r="H537" s="10" t="n">
        <v>45666.55113425926</v>
      </c>
      <c r="I537" s="10" t="n">
        <v>45666.55113425926</v>
      </c>
      <c r="J537" s="10" t="n">
        <v>45666.55244212963</v>
      </c>
      <c r="K537" s="11" t="n">
        <v>0.00130787037037037</v>
      </c>
      <c r="L537" s="13" t="n"/>
    </row>
    <row r="538">
      <c r="A538" s="3" t="inlineStr">
        <is>
          <t>PushOffDrive</t>
        </is>
      </c>
      <c r="B538" s="3" t="inlineStr">
        <is>
          <t>Act_POD_1203603+1203604+1203605_131531_613</t>
        </is>
      </c>
      <c r="C538" s="3" t="inlineStr">
        <is>
          <t>1203603+1203604+1203605</t>
        </is>
      </c>
      <c r="D538" s="9" t="n">
        <v>208</v>
      </c>
      <c r="E538" s="3" t="inlineStr">
        <is>
          <t>703</t>
        </is>
      </c>
      <c r="F538" s="3" t="inlineStr">
        <is>
          <t>613</t>
        </is>
      </c>
      <c r="G538" s="9" t="n">
        <v>297.43</v>
      </c>
      <c r="H538" s="10" t="n">
        <v>45666.55244212963</v>
      </c>
      <c r="I538" s="10" t="n">
        <v>45666.55244212963</v>
      </c>
      <c r="J538" s="10" t="n">
        <v>45666.55416666667</v>
      </c>
      <c r="K538" s="11" t="n">
        <v>0.001724537037037037</v>
      </c>
      <c r="L538" s="13" t="n"/>
    </row>
    <row r="539">
      <c r="A539" s="3" t="inlineStr">
        <is>
          <t>PushOffDrive</t>
        </is>
      </c>
      <c r="B539" s="3" t="inlineStr">
        <is>
          <t>Act_POD_1203701_131920_625</t>
        </is>
      </c>
      <c r="C539" s="3" t="inlineStr">
        <is>
          <t>1203701</t>
        </is>
      </c>
      <c r="D539" s="9" t="n">
        <v>32</v>
      </c>
      <c r="E539" s="3" t="inlineStr">
        <is>
          <t>727</t>
        </is>
      </c>
      <c r="F539" s="3" t="inlineStr">
        <is>
          <t>625</t>
        </is>
      </c>
      <c r="G539" s="9" t="n">
        <v>470.92</v>
      </c>
      <c r="H539" s="10" t="n">
        <v>45666.55509259259</v>
      </c>
      <c r="I539" s="10" t="n">
        <v>45666.55509259259</v>
      </c>
      <c r="J539" s="10" t="n">
        <v>45666.55712962963</v>
      </c>
      <c r="K539" s="11" t="n">
        <v>0.002037037037037037</v>
      </c>
      <c r="L539" s="13" t="n"/>
    </row>
    <row r="540">
      <c r="A540" s="3" t="inlineStr">
        <is>
          <t>PushOffDrive</t>
        </is>
      </c>
      <c r="B540" s="3" t="inlineStr">
        <is>
          <t>Act_POD_1203702+1203703_132216_615</t>
        </is>
      </c>
      <c r="C540" s="3" t="inlineStr">
        <is>
          <t>1203702+1203703</t>
        </is>
      </c>
      <c r="D540" s="9" t="n">
        <v>96</v>
      </c>
      <c r="E540" s="3" t="inlineStr">
        <is>
          <t>727</t>
        </is>
      </c>
      <c r="F540" s="3" t="inlineStr">
        <is>
          <t>615</t>
        </is>
      </c>
      <c r="G540" s="9" t="n">
        <v>263.09</v>
      </c>
      <c r="H540" s="10" t="n">
        <v>45666.55712962963</v>
      </c>
      <c r="I540" s="10" t="n">
        <v>45666.55712962963</v>
      </c>
      <c r="J540" s="10" t="n">
        <v>45666.55844907407</v>
      </c>
      <c r="K540" s="11" t="n">
        <v>0.001319444444444444</v>
      </c>
      <c r="L540" s="13" t="n"/>
    </row>
    <row r="541">
      <c r="A541" s="3" t="inlineStr">
        <is>
          <t>PushOffDrive</t>
        </is>
      </c>
      <c r="B541" s="3" t="inlineStr">
        <is>
          <t>Act_POD_1203704_132410_619</t>
        </is>
      </c>
      <c r="C541" s="3" t="inlineStr">
        <is>
          <t>1203704</t>
        </is>
      </c>
      <c r="D541" s="9" t="n">
        <v>48</v>
      </c>
      <c r="E541" s="3" t="inlineStr">
        <is>
          <t>727</t>
        </is>
      </c>
      <c r="F541" s="3" t="inlineStr">
        <is>
          <t>619</t>
        </is>
      </c>
      <c r="G541" s="9" t="n">
        <v>453.13</v>
      </c>
      <c r="H541" s="10" t="n">
        <v>45666.55844907407</v>
      </c>
      <c r="I541" s="10" t="n">
        <v>45666.55844907407</v>
      </c>
      <c r="J541" s="10" t="n">
        <v>45666.56043981481</v>
      </c>
      <c r="K541" s="11" t="n">
        <v>0.001990740740740741</v>
      </c>
      <c r="L541" s="13" t="n"/>
    </row>
    <row r="542">
      <c r="A542" s="3" t="inlineStr">
        <is>
          <t>PushOffDrive</t>
        </is>
      </c>
      <c r="B542" s="3" t="inlineStr">
        <is>
          <t>Act_POD_1203801_133513_605</t>
        </is>
      </c>
      <c r="C542" s="3" t="inlineStr">
        <is>
          <t>1203801</t>
        </is>
      </c>
      <c r="D542" s="9" t="n">
        <v>32</v>
      </c>
      <c r="E542" s="3" t="inlineStr">
        <is>
          <t>703</t>
        </is>
      </c>
      <c r="F542" s="3" t="inlineStr">
        <is>
          <t>605</t>
        </is>
      </c>
      <c r="G542" s="9" t="n">
        <v>405.43</v>
      </c>
      <c r="H542" s="10" t="n">
        <v>45666.56612268519</v>
      </c>
      <c r="I542" s="10" t="n">
        <v>45666.56612268519</v>
      </c>
      <c r="J542" s="10" t="n">
        <v>45666.56789351852</v>
      </c>
      <c r="K542" s="11" t="n">
        <v>0.001770833333333333</v>
      </c>
      <c r="L542" s="13" t="n"/>
    </row>
    <row r="543">
      <c r="A543" s="3" t="inlineStr">
        <is>
          <t>PushOffDrive</t>
        </is>
      </c>
      <c r="B543" s="3" t="inlineStr">
        <is>
          <t>Act_POD_1203802_133746_625</t>
        </is>
      </c>
      <c r="C543" s="3" t="inlineStr">
        <is>
          <t>1203802</t>
        </is>
      </c>
      <c r="D543" s="9" t="n">
        <v>48</v>
      </c>
      <c r="E543" s="3" t="inlineStr">
        <is>
          <t>703</t>
        </is>
      </c>
      <c r="F543" s="3" t="inlineStr">
        <is>
          <t>625</t>
        </is>
      </c>
      <c r="G543" s="9" t="n">
        <v>477.75</v>
      </c>
      <c r="H543" s="10" t="n">
        <v>45666.56789351852</v>
      </c>
      <c r="I543" s="10" t="n">
        <v>45666.56789351852</v>
      </c>
      <c r="J543" s="10" t="n">
        <v>45666.56998842592</v>
      </c>
      <c r="K543" s="11" t="n">
        <v>0.002094907407407407</v>
      </c>
      <c r="L543" s="13" t="n"/>
    </row>
    <row r="544">
      <c r="A544" s="3" t="inlineStr">
        <is>
          <t>PushOffDrive</t>
        </is>
      </c>
      <c r="B544" s="3" t="inlineStr">
        <is>
          <t>Act_POD_1203901_135014_623</t>
        </is>
      </c>
      <c r="C544" s="3" t="inlineStr">
        <is>
          <t>1203901</t>
        </is>
      </c>
      <c r="D544" s="9" t="n">
        <v>80</v>
      </c>
      <c r="E544" s="3" t="inlineStr">
        <is>
          <t>727</t>
        </is>
      </c>
      <c r="F544" s="3" t="inlineStr">
        <is>
          <t>623</t>
        </is>
      </c>
      <c r="G544" s="9" t="n">
        <v>405.22</v>
      </c>
      <c r="H544" s="10" t="n">
        <v>45666.57655092593</v>
      </c>
      <c r="I544" s="10" t="n">
        <v>45666.57655092593</v>
      </c>
      <c r="J544" s="10" t="n">
        <v>45666.57842592592</v>
      </c>
      <c r="K544" s="11" t="n">
        <v>0.001875</v>
      </c>
      <c r="L544" s="13" t="n"/>
    </row>
    <row r="545">
      <c r="A545" s="3" t="inlineStr">
        <is>
          <t>PushOffDrive</t>
        </is>
      </c>
      <c r="B545" s="3" t="inlineStr">
        <is>
          <t>Act_POD_1203902+1203903_135256_607</t>
        </is>
      </c>
      <c r="C545" s="3" t="inlineStr">
        <is>
          <t>1203902+1203903</t>
        </is>
      </c>
      <c r="D545" s="9" t="n">
        <v>112</v>
      </c>
      <c r="E545" s="3" t="inlineStr">
        <is>
          <t>727</t>
        </is>
      </c>
      <c r="F545" s="3" t="inlineStr">
        <is>
          <t>607</t>
        </is>
      </c>
      <c r="G545" s="9" t="n">
        <v>371.57</v>
      </c>
      <c r="H545" s="10" t="n">
        <v>45666.57842592592</v>
      </c>
      <c r="I545" s="10" t="n">
        <v>45666.57842592592</v>
      </c>
      <c r="J545" s="10" t="n">
        <v>45666.58023148148</v>
      </c>
      <c r="K545" s="11" t="n">
        <v>0.001805555555555555</v>
      </c>
      <c r="L545" s="13" t="n"/>
    </row>
    <row r="546">
      <c r="A546" s="3" t="inlineStr">
        <is>
          <t>PushOffDrive</t>
        </is>
      </c>
      <c r="B546" s="3" t="inlineStr">
        <is>
          <t>Act_POD_1204001_140322_609</t>
        </is>
      </c>
      <c r="C546" s="3" t="inlineStr">
        <is>
          <t>1204001</t>
        </is>
      </c>
      <c r="D546" s="9" t="n">
        <v>80</v>
      </c>
      <c r="E546" s="3" t="inlineStr">
        <is>
          <t>703</t>
        </is>
      </c>
      <c r="F546" s="3" t="inlineStr">
        <is>
          <t>609</t>
        </is>
      </c>
      <c r="G546" s="9" t="n">
        <v>350.87</v>
      </c>
      <c r="H546" s="10" t="n">
        <v>45666.5856712963</v>
      </c>
      <c r="I546" s="10" t="n">
        <v>45666.5856712963</v>
      </c>
      <c r="J546" s="10" t="n">
        <v>45666.58732638889</v>
      </c>
      <c r="K546" s="11" t="n">
        <v>0.001655092592592593</v>
      </c>
      <c r="L546" s="13" t="n"/>
    </row>
    <row r="547">
      <c r="A547" s="3" t="inlineStr">
        <is>
          <t>PushOffDrive</t>
        </is>
      </c>
      <c r="B547" s="3" t="inlineStr">
        <is>
          <t>Act_POD_1204002_140545_623</t>
        </is>
      </c>
      <c r="C547" s="3" t="inlineStr">
        <is>
          <t>1204002</t>
        </is>
      </c>
      <c r="D547" s="9" t="n">
        <v>64</v>
      </c>
      <c r="E547" s="3" t="inlineStr">
        <is>
          <t>703</t>
        </is>
      </c>
      <c r="F547" s="3" t="inlineStr">
        <is>
          <t>623</t>
        </is>
      </c>
      <c r="G547" s="9" t="n">
        <v>412.05</v>
      </c>
      <c r="H547" s="10" t="n">
        <v>45666.58732638889</v>
      </c>
      <c r="I547" s="10" t="n">
        <v>45666.58732638889</v>
      </c>
      <c r="J547" s="10" t="n">
        <v>45666.58918981482</v>
      </c>
      <c r="K547" s="11" t="n">
        <v>0.001863425925925926</v>
      </c>
      <c r="L547" s="13" t="n"/>
    </row>
    <row r="548">
      <c r="A548" s="3" t="inlineStr">
        <is>
          <t>PushOffDrive</t>
        </is>
      </c>
      <c r="B548" s="3" t="inlineStr">
        <is>
          <t>Act_POD_1204003_140826_609</t>
        </is>
      </c>
      <c r="C548" s="3" t="inlineStr">
        <is>
          <t>1204003</t>
        </is>
      </c>
      <c r="D548" s="9" t="n">
        <v>48</v>
      </c>
      <c r="E548" s="3" t="inlineStr">
        <is>
          <t>703</t>
        </is>
      </c>
      <c r="F548" s="3" t="inlineStr">
        <is>
          <t>609</t>
        </is>
      </c>
      <c r="G548" s="9" t="n">
        <v>350.87</v>
      </c>
      <c r="H548" s="10" t="n">
        <v>45666.58918981482</v>
      </c>
      <c r="I548" s="10" t="n">
        <v>45666.58918981482</v>
      </c>
      <c r="J548" s="10" t="n">
        <v>45666.59076388889</v>
      </c>
      <c r="K548" s="11" t="n">
        <v>0.001574074074074074</v>
      </c>
      <c r="L548" s="13" t="n"/>
    </row>
    <row r="549">
      <c r="A549" s="3" t="inlineStr">
        <is>
          <t>PushOffDrive</t>
        </is>
      </c>
      <c r="B549" s="3" t="inlineStr">
        <is>
          <t>Act_POD_1204101+1204102_191119_615</t>
        </is>
      </c>
      <c r="C549" s="3" t="inlineStr">
        <is>
          <t>1204101+1204102</t>
        </is>
      </c>
      <c r="D549" s="9" t="n">
        <v>144</v>
      </c>
      <c r="E549" s="3" t="inlineStr">
        <is>
          <t>703</t>
        </is>
      </c>
      <c r="F549" s="3" t="inlineStr">
        <is>
          <t>615</t>
        </is>
      </c>
      <c r="G549" s="9" t="n">
        <v>269.92</v>
      </c>
      <c r="H549" s="10" t="n">
        <v>45666.79952546296</v>
      </c>
      <c r="I549" s="10" t="n">
        <v>45666.79952546296</v>
      </c>
      <c r="J549" s="10" t="n">
        <v>45666.8009837963</v>
      </c>
      <c r="K549" s="11" t="n">
        <v>0.001458333333333333</v>
      </c>
      <c r="L549" s="13" t="n"/>
    </row>
    <row r="550">
      <c r="A550" s="3" t="inlineStr">
        <is>
          <t>PushOffDrive</t>
        </is>
      </c>
      <c r="B550" s="3" t="inlineStr">
        <is>
          <t>Act_POD_1204201+1204202_191846_613</t>
        </is>
      </c>
      <c r="C550" s="3" t="inlineStr">
        <is>
          <t>1204201+1204202</t>
        </is>
      </c>
      <c r="D550" s="9" t="n">
        <v>96</v>
      </c>
      <c r="E550" s="3" t="inlineStr">
        <is>
          <t>727</t>
        </is>
      </c>
      <c r="F550" s="3" t="inlineStr">
        <is>
          <t>613</t>
        </is>
      </c>
      <c r="G550" s="9" t="n">
        <v>290.6</v>
      </c>
      <c r="H550" s="10" t="n">
        <v>45666.80469907408</v>
      </c>
      <c r="I550" s="10" t="n">
        <v>45666.80469907408</v>
      </c>
      <c r="J550" s="10" t="n">
        <v>45666.80613425926</v>
      </c>
      <c r="K550" s="11" t="n">
        <v>0.001435185185185185</v>
      </c>
      <c r="L550" s="13" t="n"/>
    </row>
    <row r="551">
      <c r="A551" s="3" t="inlineStr">
        <is>
          <t>PushOffDrive</t>
        </is>
      </c>
      <c r="B551" s="3" t="inlineStr">
        <is>
          <t>Act_POD_1204203+1204204_192050_625</t>
        </is>
      </c>
      <c r="C551" s="3" t="inlineStr">
        <is>
          <t>1204203+1204204</t>
        </is>
      </c>
      <c r="D551" s="9" t="n">
        <v>96</v>
      </c>
      <c r="E551" s="3" t="inlineStr">
        <is>
          <t>727</t>
        </is>
      </c>
      <c r="F551" s="3" t="inlineStr">
        <is>
          <t>625</t>
        </is>
      </c>
      <c r="G551" s="9" t="n">
        <v>470.92</v>
      </c>
      <c r="H551" s="10" t="n">
        <v>45666.80613425926</v>
      </c>
      <c r="I551" s="10" t="n">
        <v>45666.80613425926</v>
      </c>
      <c r="J551" s="10" t="n">
        <v>45666.80832175926</v>
      </c>
      <c r="K551" s="11" t="n">
        <v>0.0021875</v>
      </c>
      <c r="L551" s="13" t="n"/>
    </row>
    <row r="552">
      <c r="A552" s="3" t="inlineStr">
        <is>
          <t>PushOffDrive</t>
        </is>
      </c>
      <c r="B552" s="3" t="inlineStr">
        <is>
          <t>Act_POD_1204205_192359_613</t>
        </is>
      </c>
      <c r="C552" s="3" t="inlineStr">
        <is>
          <t>1204205</t>
        </is>
      </c>
      <c r="D552" s="9" t="n">
        <v>80</v>
      </c>
      <c r="E552" s="3" t="inlineStr">
        <is>
          <t>727</t>
        </is>
      </c>
      <c r="F552" s="3" t="inlineStr">
        <is>
          <t>613</t>
        </is>
      </c>
      <c r="G552" s="9" t="n">
        <v>290.6</v>
      </c>
      <c r="H552" s="10" t="n">
        <v>45666.80832175926</v>
      </c>
      <c r="I552" s="10" t="n">
        <v>45666.80832175926</v>
      </c>
      <c r="J552" s="10" t="n">
        <v>45666.80971064815</v>
      </c>
      <c r="K552" s="11" t="n">
        <v>0.001388888888888889</v>
      </c>
      <c r="L552" s="13" t="n"/>
    </row>
    <row r="553">
      <c r="A553" s="3" t="inlineStr">
        <is>
          <t>PushOffDrive</t>
        </is>
      </c>
      <c r="B553" s="3" t="inlineStr">
        <is>
          <t>Act_POD_1204301+1204302+1204303+1204304_224115_605</t>
        </is>
      </c>
      <c r="C553" s="3" t="inlineStr">
        <is>
          <t>1204301+1204302+1204303+1204304</t>
        </is>
      </c>
      <c r="D553" s="9" t="n">
        <v>160</v>
      </c>
      <c r="E553" s="3" t="inlineStr">
        <is>
          <t>703</t>
        </is>
      </c>
      <c r="F553" s="3" t="inlineStr">
        <is>
          <t>605</t>
        </is>
      </c>
      <c r="G553" s="9" t="n">
        <v>405.43</v>
      </c>
      <c r="H553" s="10" t="n">
        <v>45666.9453125</v>
      </c>
      <c r="I553" s="10" t="n">
        <v>45666.9453125</v>
      </c>
      <c r="J553" s="10" t="n">
        <v>45666.94737268519</v>
      </c>
      <c r="K553" s="11" t="n">
        <v>0.002060185185185185</v>
      </c>
      <c r="L553" s="13" t="n"/>
    </row>
    <row r="554">
      <c r="A554" s="3" t="inlineStr">
        <is>
          <t>PushOffDrive</t>
        </is>
      </c>
      <c r="B554" s="3" t="inlineStr">
        <is>
          <t>Act_POD_1204401_071349_615</t>
        </is>
      </c>
      <c r="C554" s="3" t="inlineStr">
        <is>
          <t>1204401</t>
        </is>
      </c>
      <c r="D554" s="9" t="n">
        <v>32</v>
      </c>
      <c r="E554" s="3" t="inlineStr">
        <is>
          <t>703</t>
        </is>
      </c>
      <c r="F554" s="3" t="inlineStr">
        <is>
          <t>615</t>
        </is>
      </c>
      <c r="G554" s="9" t="n">
        <v>269.92</v>
      </c>
      <c r="H554" s="10" t="n">
        <v>45667.30126157407</v>
      </c>
      <c r="I554" s="10" t="n">
        <v>45667.30126157407</v>
      </c>
      <c r="J554" s="10" t="n">
        <v>45667.30246527777</v>
      </c>
      <c r="K554" s="11" t="n">
        <v>0.001203703703703704</v>
      </c>
      <c r="L554" s="13" t="n"/>
    </row>
    <row r="555">
      <c r="A555" s="3" t="inlineStr">
        <is>
          <t>PushOffDrive</t>
        </is>
      </c>
      <c r="B555" s="3" t="inlineStr">
        <is>
          <t>Act_POD_1204402_071533_613</t>
        </is>
      </c>
      <c r="C555" s="3" t="inlineStr">
        <is>
          <t>1204402</t>
        </is>
      </c>
      <c r="D555" s="9" t="n">
        <v>48</v>
      </c>
      <c r="E555" s="3" t="inlineStr">
        <is>
          <t>703</t>
        </is>
      </c>
      <c r="F555" s="3" t="inlineStr">
        <is>
          <t>613</t>
        </is>
      </c>
      <c r="G555" s="9" t="n">
        <v>297.43</v>
      </c>
      <c r="H555" s="10" t="n">
        <v>45667.30246527777</v>
      </c>
      <c r="I555" s="10" t="n">
        <v>45667.30246527777</v>
      </c>
      <c r="J555" s="10" t="n">
        <v>45667.30380787037</v>
      </c>
      <c r="K555" s="11" t="n">
        <v>0.001342592592592592</v>
      </c>
      <c r="L555" s="13" t="n"/>
    </row>
    <row r="556">
      <c r="A556" s="3" t="inlineStr">
        <is>
          <t>PushOffDrive</t>
        </is>
      </c>
      <c r="B556" s="3" t="inlineStr">
        <is>
          <t>Act_POD_1204403_071729_606</t>
        </is>
      </c>
      <c r="C556" s="3" t="inlineStr">
        <is>
          <t>1204403</t>
        </is>
      </c>
      <c r="D556" s="9" t="n">
        <v>32</v>
      </c>
      <c r="E556" s="3" t="inlineStr">
        <is>
          <t>703</t>
        </is>
      </c>
      <c r="F556" s="3" t="inlineStr">
        <is>
          <t>606</t>
        </is>
      </c>
      <c r="G556" s="9" t="n">
        <v>405.03</v>
      </c>
      <c r="H556" s="10" t="n">
        <v>45667.30380787037</v>
      </c>
      <c r="I556" s="10" t="n">
        <v>45667.30380787037</v>
      </c>
      <c r="J556" s="10" t="n">
        <v>45667.3055787037</v>
      </c>
      <c r="K556" s="11" t="n">
        <v>0.001770833333333333</v>
      </c>
      <c r="L556" s="13" t="n"/>
    </row>
    <row r="557">
      <c r="A557" s="3" t="inlineStr">
        <is>
          <t>PushOffDrive</t>
        </is>
      </c>
      <c r="B557" s="3" t="inlineStr">
        <is>
          <t>Act_POD_1204404_072002_615</t>
        </is>
      </c>
      <c r="C557" s="3" t="inlineStr">
        <is>
          <t>1204404</t>
        </is>
      </c>
      <c r="D557" s="9" t="n">
        <v>48</v>
      </c>
      <c r="E557" s="3" t="inlineStr">
        <is>
          <t>703</t>
        </is>
      </c>
      <c r="F557" s="3" t="inlineStr">
        <is>
          <t>615</t>
        </is>
      </c>
      <c r="G557" s="9" t="n">
        <v>269.92</v>
      </c>
      <c r="H557" s="10" t="n">
        <v>45667.3055787037</v>
      </c>
      <c r="I557" s="10" t="n">
        <v>45667.3055787037</v>
      </c>
      <c r="J557" s="10" t="n">
        <v>45667.30680555556</v>
      </c>
      <c r="K557" s="11" t="n">
        <v>0.001226851851851852</v>
      </c>
      <c r="L557" s="13" t="n"/>
    </row>
    <row r="558">
      <c r="A558" s="3" t="inlineStr">
        <is>
          <t>PushOffDrive</t>
        </is>
      </c>
      <c r="B558" s="3" t="inlineStr">
        <is>
          <t>Act_POD_1204501_074735_605</t>
        </is>
      </c>
      <c r="C558" s="3" t="inlineStr">
        <is>
          <t>1204501</t>
        </is>
      </c>
      <c r="D558" s="9" t="n">
        <v>64</v>
      </c>
      <c r="E558" s="3" t="inlineStr">
        <is>
          <t>703</t>
        </is>
      </c>
      <c r="F558" s="3" t="inlineStr">
        <is>
          <t>605</t>
        </is>
      </c>
      <c r="G558" s="9" t="n">
        <v>405.43</v>
      </c>
      <c r="H558" s="10" t="n">
        <v>45667.32471064815</v>
      </c>
      <c r="I558" s="10" t="n">
        <v>45667.32471064815</v>
      </c>
      <c r="J558" s="10" t="n">
        <v>45667.32655092593</v>
      </c>
      <c r="K558" s="11" t="n">
        <v>0.001840277777777778</v>
      </c>
      <c r="L558" s="13" t="n"/>
    </row>
    <row r="559">
      <c r="A559" s="3" t="inlineStr">
        <is>
          <t>PushOffDrive</t>
        </is>
      </c>
      <c r="B559" s="3" t="inlineStr">
        <is>
          <t>Act_POD_1204502_075014_623</t>
        </is>
      </c>
      <c r="C559" s="3" t="inlineStr">
        <is>
          <t>1204502</t>
        </is>
      </c>
      <c r="D559" s="9" t="n">
        <v>32</v>
      </c>
      <c r="E559" s="3" t="inlineStr">
        <is>
          <t>703</t>
        </is>
      </c>
      <c r="F559" s="3" t="inlineStr">
        <is>
          <t>623</t>
        </is>
      </c>
      <c r="G559" s="9" t="n">
        <v>412.05</v>
      </c>
      <c r="H559" s="10" t="n">
        <v>45667.32655092593</v>
      </c>
      <c r="I559" s="10" t="n">
        <v>45667.32655092593</v>
      </c>
      <c r="J559" s="10" t="n">
        <v>45667.32834490741</v>
      </c>
      <c r="K559" s="11" t="n">
        <v>0.001793981481481481</v>
      </c>
      <c r="L559" s="13" t="n"/>
    </row>
    <row r="560">
      <c r="A560" s="3" t="inlineStr">
        <is>
          <t>PushOffDrive</t>
        </is>
      </c>
      <c r="B560" s="3" t="inlineStr">
        <is>
          <t>Act_POD_1204503_075249_627</t>
        </is>
      </c>
      <c r="C560" s="3" t="inlineStr">
        <is>
          <t>1204503</t>
        </is>
      </c>
      <c r="D560" s="9" t="n">
        <v>48</v>
      </c>
      <c r="E560" s="3" t="inlineStr">
        <is>
          <t>703</t>
        </is>
      </c>
      <c r="F560" s="3" t="inlineStr">
        <is>
          <t>627</t>
        </is>
      </c>
      <c r="G560" s="9" t="n">
        <v>450.42</v>
      </c>
      <c r="H560" s="10" t="n">
        <v>45667.32834490741</v>
      </c>
      <c r="I560" s="10" t="n">
        <v>45667.32834490741</v>
      </c>
      <c r="J560" s="10" t="n">
        <v>45667.33033564815</v>
      </c>
      <c r="K560" s="11" t="n">
        <v>0.001990740740740741</v>
      </c>
      <c r="L560" s="13" t="n"/>
    </row>
    <row r="561">
      <c r="A561" s="3" t="inlineStr">
        <is>
          <t>PushOffDrive</t>
        </is>
      </c>
      <c r="B561" s="3" t="inlineStr">
        <is>
          <t>Act_POD_1204601_083409_613</t>
        </is>
      </c>
      <c r="C561" s="3" t="inlineStr">
        <is>
          <t>1204601</t>
        </is>
      </c>
      <c r="D561" s="9" t="n">
        <v>32</v>
      </c>
      <c r="E561" s="3" t="inlineStr">
        <is>
          <t>703</t>
        </is>
      </c>
      <c r="F561" s="3" t="inlineStr">
        <is>
          <t>613</t>
        </is>
      </c>
      <c r="G561" s="9" t="n">
        <v>297.43</v>
      </c>
      <c r="H561" s="10" t="n">
        <v>45667.35704861111</v>
      </c>
      <c r="I561" s="10" t="n">
        <v>45667.35704861111</v>
      </c>
      <c r="J561" s="10" t="n">
        <v>45667.35835648148</v>
      </c>
      <c r="K561" s="11" t="n">
        <v>0.00130787037037037</v>
      </c>
      <c r="L561" s="13" t="n"/>
    </row>
    <row r="562">
      <c r="A562" s="3" t="inlineStr">
        <is>
          <t>PushOffDrive</t>
        </is>
      </c>
      <c r="B562" s="3" t="inlineStr">
        <is>
          <t>Act_POD_1204602_083602_623</t>
        </is>
      </c>
      <c r="C562" s="3" t="inlineStr">
        <is>
          <t>1204602</t>
        </is>
      </c>
      <c r="D562" s="9" t="n">
        <v>64</v>
      </c>
      <c r="E562" s="3" t="inlineStr">
        <is>
          <t>703</t>
        </is>
      </c>
      <c r="F562" s="3" t="inlineStr">
        <is>
          <t>623</t>
        </is>
      </c>
      <c r="G562" s="9" t="n">
        <v>412.05</v>
      </c>
      <c r="H562" s="10" t="n">
        <v>45667.35835648148</v>
      </c>
      <c r="I562" s="10" t="n">
        <v>45667.35835648148</v>
      </c>
      <c r="J562" s="10" t="n">
        <v>45667.36021990741</v>
      </c>
      <c r="K562" s="11" t="n">
        <v>0.001863425925925926</v>
      </c>
      <c r="L562" s="13" t="n"/>
    </row>
    <row r="563">
      <c r="A563" s="3" t="inlineStr">
        <is>
          <t>PushOffDrive</t>
        </is>
      </c>
      <c r="B563" s="3" t="inlineStr">
        <is>
          <t>Act_POD_1204701_091559_615</t>
        </is>
      </c>
      <c r="C563" s="3" t="inlineStr">
        <is>
          <t>1204701</t>
        </is>
      </c>
      <c r="D563" s="9" t="n">
        <v>64</v>
      </c>
      <c r="E563" s="3" t="inlineStr">
        <is>
          <t>703</t>
        </is>
      </c>
      <c r="F563" s="3" t="inlineStr">
        <is>
          <t>615</t>
        </is>
      </c>
      <c r="G563" s="9" t="n">
        <v>269.92</v>
      </c>
      <c r="H563" s="10" t="n">
        <v>45667.38609953703</v>
      </c>
      <c r="I563" s="10" t="n">
        <v>45667.38609953703</v>
      </c>
      <c r="J563" s="10" t="n">
        <v>45667.38737268518</v>
      </c>
      <c r="K563" s="11" t="n">
        <v>0.001273148148148148</v>
      </c>
      <c r="L563" s="13" t="n"/>
    </row>
    <row r="564">
      <c r="A564" s="3" t="inlineStr">
        <is>
          <t>PushOffDrive</t>
        </is>
      </c>
      <c r="B564" s="3" t="inlineStr">
        <is>
          <t>Act_POD_1204702_091749_627</t>
        </is>
      </c>
      <c r="C564" s="3" t="inlineStr">
        <is>
          <t>1204702</t>
        </is>
      </c>
      <c r="D564" s="9" t="n">
        <v>64</v>
      </c>
      <c r="E564" s="3" t="inlineStr">
        <is>
          <t>703</t>
        </is>
      </c>
      <c r="F564" s="3" t="inlineStr">
        <is>
          <t>627</t>
        </is>
      </c>
      <c r="G564" s="9" t="n">
        <v>450.42</v>
      </c>
      <c r="H564" s="10" t="n">
        <v>45667.38737268518</v>
      </c>
      <c r="I564" s="10" t="n">
        <v>45667.38737268518</v>
      </c>
      <c r="J564" s="10" t="n">
        <v>45667.38939814815</v>
      </c>
      <c r="K564" s="11" t="n">
        <v>0.002025462962962963</v>
      </c>
      <c r="L564" s="13" t="n"/>
    </row>
    <row r="565">
      <c r="A565" s="3" t="inlineStr">
        <is>
          <t>PushOffDrive</t>
        </is>
      </c>
      <c r="B565" s="3" t="inlineStr">
        <is>
          <t>Act_POD_1204703_092044_619</t>
        </is>
      </c>
      <c r="C565" s="3" t="inlineStr">
        <is>
          <t>1204703</t>
        </is>
      </c>
      <c r="D565" s="9" t="n">
        <v>48</v>
      </c>
      <c r="E565" s="3" t="inlineStr">
        <is>
          <t>703</t>
        </is>
      </c>
      <c r="F565" s="3" t="inlineStr">
        <is>
          <t>619</t>
        </is>
      </c>
      <c r="G565" s="9" t="n">
        <v>459.96</v>
      </c>
      <c r="H565" s="10" t="n">
        <v>45667.38939814815</v>
      </c>
      <c r="I565" s="10" t="n">
        <v>45667.38939814815</v>
      </c>
      <c r="J565" s="10" t="n">
        <v>45667.39142361111</v>
      </c>
      <c r="K565" s="11" t="n">
        <v>0.002025462962962963</v>
      </c>
      <c r="L565" s="13" t="n"/>
    </row>
    <row r="566">
      <c r="A566" s="3" t="inlineStr">
        <is>
          <t>PushOffDrive</t>
        </is>
      </c>
      <c r="B566" s="3" t="inlineStr">
        <is>
          <t>Act_POD_1204801+1204802+1204803_131254_615</t>
        </is>
      </c>
      <c r="C566" s="3" t="inlineStr">
        <is>
          <t>1204801+1204802+1204803</t>
        </is>
      </c>
      <c r="D566" s="9" t="n">
        <v>128</v>
      </c>
      <c r="E566" s="3" t="inlineStr">
        <is>
          <t>727</t>
        </is>
      </c>
      <c r="F566" s="3" t="inlineStr">
        <is>
          <t>615</t>
        </is>
      </c>
      <c r="G566" s="9" t="n">
        <v>263.09</v>
      </c>
      <c r="H566" s="10" t="n">
        <v>45667.550625</v>
      </c>
      <c r="I566" s="10" t="n">
        <v>45667.550625</v>
      </c>
      <c r="J566" s="10" t="n">
        <v>45667.55201388889</v>
      </c>
      <c r="K566" s="11" t="n">
        <v>0.001388888888888889</v>
      </c>
      <c r="L566" s="13" t="n"/>
    </row>
    <row r="567">
      <c r="A567" s="3" t="inlineStr">
        <is>
          <t>PushOffDrive</t>
        </is>
      </c>
      <c r="B567" s="3" t="inlineStr">
        <is>
          <t>Act_POD_1204804_131454_625</t>
        </is>
      </c>
      <c r="C567" s="3" t="inlineStr">
        <is>
          <t>1204804</t>
        </is>
      </c>
      <c r="D567" s="9" t="n">
        <v>80</v>
      </c>
      <c r="E567" s="3" t="inlineStr">
        <is>
          <t>727</t>
        </is>
      </c>
      <c r="F567" s="3" t="inlineStr">
        <is>
          <t>625</t>
        </is>
      </c>
      <c r="G567" s="9" t="n">
        <v>470.92</v>
      </c>
      <c r="H567" s="10" t="n">
        <v>45667.55201388889</v>
      </c>
      <c r="I567" s="10" t="n">
        <v>45667.55201388889</v>
      </c>
      <c r="J567" s="10" t="n">
        <v>45667.55416666667</v>
      </c>
      <c r="K567" s="11" t="n">
        <v>0.002152777777777778</v>
      </c>
      <c r="L567" s="13" t="n"/>
    </row>
    <row r="568">
      <c r="A568" s="3" t="inlineStr">
        <is>
          <t>PushOffDrive</t>
        </is>
      </c>
      <c r="B568" s="3" t="inlineStr">
        <is>
          <t>Act_POD_1204805_131800_607</t>
        </is>
      </c>
      <c r="C568" s="3" t="inlineStr">
        <is>
          <t>1204805</t>
        </is>
      </c>
      <c r="D568" s="9" t="n">
        <v>32</v>
      </c>
      <c r="E568" s="3" t="inlineStr">
        <is>
          <t>727</t>
        </is>
      </c>
      <c r="F568" s="3" t="inlineStr">
        <is>
          <t>607</t>
        </is>
      </c>
      <c r="G568" s="9" t="n">
        <v>371.57</v>
      </c>
      <c r="H568" s="10" t="n">
        <v>45667.55416666667</v>
      </c>
      <c r="I568" s="10" t="n">
        <v>45667.55416666667</v>
      </c>
      <c r="J568" s="10" t="n">
        <v>45667.55578703704</v>
      </c>
      <c r="K568" s="11" t="n">
        <v>0.00162037037037037</v>
      </c>
      <c r="L568" s="13" t="n"/>
    </row>
    <row r="569">
      <c r="A569" s="3" t="inlineStr">
        <is>
          <t>PushOffDrive</t>
        </is>
      </c>
      <c r="B569" s="3" t="inlineStr">
        <is>
          <t>Act_POD_1204901_132135_619</t>
        </is>
      </c>
      <c r="C569" s="3" t="inlineStr">
        <is>
          <t>1204901</t>
        </is>
      </c>
      <c r="D569" s="9" t="n">
        <v>32</v>
      </c>
      <c r="E569" s="3" t="inlineStr">
        <is>
          <t>703</t>
        </is>
      </c>
      <c r="F569" s="3" t="inlineStr">
        <is>
          <t>619</t>
        </is>
      </c>
      <c r="G569" s="9" t="n">
        <v>459.96</v>
      </c>
      <c r="H569" s="10" t="n">
        <v>45667.55665509259</v>
      </c>
      <c r="I569" s="10" t="n">
        <v>45667.55665509259</v>
      </c>
      <c r="J569" s="10" t="n">
        <v>45667.55864583333</v>
      </c>
      <c r="K569" s="11" t="n">
        <v>0.001990740740740741</v>
      </c>
      <c r="L569" s="13" t="n"/>
    </row>
    <row r="570">
      <c r="A570" s="3" t="inlineStr">
        <is>
          <t>PushOffDrive</t>
        </is>
      </c>
      <c r="B570" s="3" t="inlineStr">
        <is>
          <t>Act_POD_1204902_132427_623</t>
        </is>
      </c>
      <c r="C570" s="3" t="inlineStr">
        <is>
          <t>1204902</t>
        </is>
      </c>
      <c r="D570" s="9" t="n">
        <v>32</v>
      </c>
      <c r="E570" s="3" t="inlineStr">
        <is>
          <t>703</t>
        </is>
      </c>
      <c r="F570" s="3" t="inlineStr">
        <is>
          <t>623</t>
        </is>
      </c>
      <c r="G570" s="9" t="n">
        <v>412.05</v>
      </c>
      <c r="H570" s="10" t="n">
        <v>45667.55864583333</v>
      </c>
      <c r="I570" s="10" t="n">
        <v>45667.55864583333</v>
      </c>
      <c r="J570" s="10" t="n">
        <v>45667.56043981481</v>
      </c>
      <c r="K570" s="11" t="n">
        <v>0.001793981481481481</v>
      </c>
      <c r="L570" s="13" t="n"/>
    </row>
    <row r="571">
      <c r="A571" s="3" t="inlineStr">
        <is>
          <t>PushOffDrive</t>
        </is>
      </c>
      <c r="B571" s="3" t="inlineStr">
        <is>
          <t>Act_POD_1204903_132702_619</t>
        </is>
      </c>
      <c r="C571" s="3" t="inlineStr">
        <is>
          <t>1204903</t>
        </is>
      </c>
      <c r="D571" s="9" t="n">
        <v>48</v>
      </c>
      <c r="E571" s="3" t="inlineStr">
        <is>
          <t>703</t>
        </is>
      </c>
      <c r="F571" s="3" t="inlineStr">
        <is>
          <t>619</t>
        </is>
      </c>
      <c r="G571" s="9" t="n">
        <v>459.96</v>
      </c>
      <c r="H571" s="10" t="n">
        <v>45667.56043981481</v>
      </c>
      <c r="I571" s="10" t="n">
        <v>45667.56043981481</v>
      </c>
      <c r="J571" s="10" t="n">
        <v>45667.56246527778</v>
      </c>
      <c r="K571" s="11" t="n">
        <v>0.002025462962962963</v>
      </c>
      <c r="L571" s="13" t="n"/>
    </row>
    <row r="572">
      <c r="A572" s="3" t="inlineStr">
        <is>
          <t>PushOffDrive</t>
        </is>
      </c>
      <c r="B572" s="3" t="inlineStr">
        <is>
          <t>Act_POD_1204904+1204905_132957_605</t>
        </is>
      </c>
      <c r="C572" s="3" t="inlineStr">
        <is>
          <t>1204904+1204905</t>
        </is>
      </c>
      <c r="D572" s="9" t="n">
        <v>112</v>
      </c>
      <c r="E572" s="3" t="inlineStr">
        <is>
          <t>703</t>
        </is>
      </c>
      <c r="F572" s="3" t="inlineStr">
        <is>
          <t>605</t>
        </is>
      </c>
      <c r="G572" s="9" t="n">
        <v>405.43</v>
      </c>
      <c r="H572" s="10" t="n">
        <v>45667.56246527778</v>
      </c>
      <c r="I572" s="10" t="n">
        <v>45667.56246527778</v>
      </c>
      <c r="J572" s="10" t="n">
        <v>45667.56440972222</v>
      </c>
      <c r="K572" s="11" t="n">
        <v>0.001944444444444444</v>
      </c>
      <c r="L572" s="13" t="n"/>
    </row>
    <row r="573">
      <c r="A573" s="3" t="inlineStr">
        <is>
          <t>PushOffDrive</t>
        </is>
      </c>
      <c r="B573" s="3" t="inlineStr">
        <is>
          <t>Act_POD_1205001_151357_615</t>
        </is>
      </c>
      <c r="C573" s="3" t="inlineStr">
        <is>
          <t>1205001</t>
        </is>
      </c>
      <c r="D573" s="9" t="n">
        <v>32</v>
      </c>
      <c r="E573" s="3" t="inlineStr">
        <is>
          <t>703</t>
        </is>
      </c>
      <c r="F573" s="3" t="inlineStr">
        <is>
          <t>615</t>
        </is>
      </c>
      <c r="G573" s="9" t="n">
        <v>269.92</v>
      </c>
      <c r="H573" s="10" t="n">
        <v>45667.6346875</v>
      </c>
      <c r="I573" s="10" t="n">
        <v>45667.6346875</v>
      </c>
      <c r="J573" s="10" t="n">
        <v>45667.6358912037</v>
      </c>
      <c r="K573" s="11" t="n">
        <v>0.001203703703703704</v>
      </c>
      <c r="L573" s="13" t="n"/>
    </row>
    <row r="574">
      <c r="A574" s="3" t="inlineStr">
        <is>
          <t>PushOffDrive</t>
        </is>
      </c>
      <c r="B574" s="3" t="inlineStr">
        <is>
          <t>Act_POD_1205002_151541_613</t>
        </is>
      </c>
      <c r="C574" s="3" t="inlineStr">
        <is>
          <t>1205002</t>
        </is>
      </c>
      <c r="D574" s="9" t="n">
        <v>48</v>
      </c>
      <c r="E574" s="3" t="inlineStr">
        <is>
          <t>703</t>
        </is>
      </c>
      <c r="F574" s="3" t="inlineStr">
        <is>
          <t>613</t>
        </is>
      </c>
      <c r="G574" s="9" t="n">
        <v>297.43</v>
      </c>
      <c r="H574" s="10" t="n">
        <v>45667.6358912037</v>
      </c>
      <c r="I574" s="10" t="n">
        <v>45667.6358912037</v>
      </c>
      <c r="J574" s="10" t="n">
        <v>45667.6372337963</v>
      </c>
      <c r="K574" s="11" t="n">
        <v>0.001342592592592592</v>
      </c>
      <c r="L574" s="13" t="n"/>
    </row>
    <row r="575">
      <c r="A575" s="3" t="inlineStr">
        <is>
          <t>PushOffDrive</t>
        </is>
      </c>
      <c r="B575" s="3" t="inlineStr">
        <is>
          <t>Act_POD_1205003+1205004_151737_625</t>
        </is>
      </c>
      <c r="C575" s="3" t="inlineStr">
        <is>
          <t>1205003+1205004</t>
        </is>
      </c>
      <c r="D575" s="9" t="n">
        <v>128</v>
      </c>
      <c r="E575" s="3" t="inlineStr">
        <is>
          <t>703</t>
        </is>
      </c>
      <c r="F575" s="3" t="inlineStr">
        <is>
          <t>625</t>
        </is>
      </c>
      <c r="G575" s="9" t="n">
        <v>477.75</v>
      </c>
      <c r="H575" s="10" t="n">
        <v>45667.6372337963</v>
      </c>
      <c r="I575" s="10" t="n">
        <v>45667.6372337963</v>
      </c>
      <c r="J575" s="10" t="n">
        <v>45667.63952546296</v>
      </c>
      <c r="K575" s="11" t="n">
        <v>0.002291666666666667</v>
      </c>
      <c r="L575" s="13" t="n"/>
    </row>
    <row r="576">
      <c r="A576" s="3" t="inlineStr">
        <is>
          <t>PushOffDrive</t>
        </is>
      </c>
      <c r="B576" s="3" t="inlineStr">
        <is>
          <t>Act_POD_1205101+1205102+1205103_155230_605</t>
        </is>
      </c>
      <c r="C576" s="3" t="inlineStr">
        <is>
          <t>1205101+1205102+1205103</t>
        </is>
      </c>
      <c r="D576" s="9" t="n">
        <v>160</v>
      </c>
      <c r="E576" s="3" t="inlineStr">
        <is>
          <t>703</t>
        </is>
      </c>
      <c r="F576" s="3" t="inlineStr">
        <is>
          <t>605</t>
        </is>
      </c>
      <c r="G576" s="9" t="n">
        <v>405.43</v>
      </c>
      <c r="H576" s="10" t="n">
        <v>45667.66145833334</v>
      </c>
      <c r="I576" s="10" t="n">
        <v>45667.66145833334</v>
      </c>
      <c r="J576" s="10" t="n">
        <v>45667.66351851852</v>
      </c>
      <c r="K576" s="11" t="n">
        <v>0.002060185185185185</v>
      </c>
      <c r="L576" s="13" t="n"/>
    </row>
    <row r="577">
      <c r="A577" s="3" t="inlineStr">
        <is>
          <t>PushOffDrive</t>
        </is>
      </c>
      <c r="B577" s="3" t="inlineStr">
        <is>
          <t>Act_POD_1205201_162712_607</t>
        </is>
      </c>
      <c r="C577" s="3" t="inlineStr">
        <is>
          <t>1205201</t>
        </is>
      </c>
      <c r="D577" s="9" t="n">
        <v>64</v>
      </c>
      <c r="E577" s="3" t="inlineStr">
        <is>
          <t>703</t>
        </is>
      </c>
      <c r="F577" s="3" t="inlineStr">
        <is>
          <t>607</t>
        </is>
      </c>
      <c r="G577" s="9" t="n">
        <v>378.4</v>
      </c>
      <c r="H577" s="10" t="n">
        <v>45667.68555555555</v>
      </c>
      <c r="I577" s="10" t="n">
        <v>45667.68555555555</v>
      </c>
      <c r="J577" s="10" t="n">
        <v>45667.68728009259</v>
      </c>
      <c r="K577" s="11" t="n">
        <v>0.001724537037037037</v>
      </c>
      <c r="L577" s="13" t="n"/>
    </row>
    <row r="578">
      <c r="A578" s="3" t="inlineStr">
        <is>
          <t>PushOffDrive</t>
        </is>
      </c>
      <c r="B578" s="3" t="inlineStr">
        <is>
          <t>Act_POD_1205202_162941_606</t>
        </is>
      </c>
      <c r="C578" s="3" t="inlineStr">
        <is>
          <t>1205202</t>
        </is>
      </c>
      <c r="D578" s="9" t="n">
        <v>80</v>
      </c>
      <c r="E578" s="3" t="inlineStr">
        <is>
          <t>703</t>
        </is>
      </c>
      <c r="F578" s="3" t="inlineStr">
        <is>
          <t>606</t>
        </is>
      </c>
      <c r="G578" s="9" t="n">
        <v>405.03</v>
      </c>
      <c r="H578" s="10" t="n">
        <v>45667.68728009259</v>
      </c>
      <c r="I578" s="10" t="n">
        <v>45667.68728009259</v>
      </c>
      <c r="J578" s="10" t="n">
        <v>45667.68915509259</v>
      </c>
      <c r="K578" s="11" t="n">
        <v>0.001875</v>
      </c>
      <c r="L578" s="13" t="n"/>
    </row>
    <row r="579">
      <c r="A579" s="3" t="inlineStr">
        <is>
          <t>PushOffDrive</t>
        </is>
      </c>
      <c r="B579" s="3" t="inlineStr">
        <is>
          <t>Act_POD_1205203_163223_607</t>
        </is>
      </c>
      <c r="C579" s="3" t="inlineStr">
        <is>
          <t>1205203</t>
        </is>
      </c>
      <c r="D579" s="9" t="n">
        <v>80</v>
      </c>
      <c r="E579" s="3" t="inlineStr">
        <is>
          <t>703</t>
        </is>
      </c>
      <c r="F579" s="3" t="inlineStr">
        <is>
          <t>607</t>
        </is>
      </c>
      <c r="G579" s="9" t="n">
        <v>378.4</v>
      </c>
      <c r="H579" s="10" t="n">
        <v>45667.68915509259</v>
      </c>
      <c r="I579" s="10" t="n">
        <v>45667.68915509259</v>
      </c>
      <c r="J579" s="10" t="n">
        <v>45667.69091435185</v>
      </c>
      <c r="K579" s="11" t="n">
        <v>0.001759259259259259</v>
      </c>
      <c r="L579" s="13" t="n"/>
    </row>
    <row r="580">
      <c r="A580" s="3" t="inlineStr">
        <is>
          <t>PushOffDrive</t>
        </is>
      </c>
      <c r="B580" s="3" t="inlineStr">
        <is>
          <t>Act_POD_1205301_170634_613</t>
        </is>
      </c>
      <c r="C580" s="3" t="inlineStr">
        <is>
          <t>1205301</t>
        </is>
      </c>
      <c r="D580" s="9" t="n">
        <v>48</v>
      </c>
      <c r="E580" s="3" t="inlineStr">
        <is>
          <t>703</t>
        </is>
      </c>
      <c r="F580" s="3" t="inlineStr">
        <is>
          <t>613</t>
        </is>
      </c>
      <c r="G580" s="9" t="n">
        <v>297.43</v>
      </c>
      <c r="H580" s="10" t="n">
        <v>45667.71289351852</v>
      </c>
      <c r="I580" s="10" t="n">
        <v>45667.71289351852</v>
      </c>
      <c r="J580" s="10" t="n">
        <v>45667.71424768519</v>
      </c>
      <c r="K580" s="11" t="n">
        <v>0.001354166666666667</v>
      </c>
      <c r="L580" s="13" t="n"/>
    </row>
    <row r="581">
      <c r="A581" s="3" t="inlineStr">
        <is>
          <t>PushOffDrive</t>
        </is>
      </c>
      <c r="B581" s="3" t="inlineStr">
        <is>
          <t>Act_POD_1205302_170831_615</t>
        </is>
      </c>
      <c r="C581" s="3" t="inlineStr">
        <is>
          <t>1205302</t>
        </is>
      </c>
      <c r="D581" s="9" t="n">
        <v>32</v>
      </c>
      <c r="E581" s="3" t="inlineStr">
        <is>
          <t>703</t>
        </is>
      </c>
      <c r="F581" s="3" t="inlineStr">
        <is>
          <t>615</t>
        </is>
      </c>
      <c r="G581" s="9" t="n">
        <v>269.92</v>
      </c>
      <c r="H581" s="10" t="n">
        <v>45667.71424768519</v>
      </c>
      <c r="I581" s="10" t="n">
        <v>45667.71424768519</v>
      </c>
      <c r="J581" s="10" t="n">
        <v>45667.71545138889</v>
      </c>
      <c r="K581" s="11" t="n">
        <v>0.001203703703703704</v>
      </c>
      <c r="L581" s="13" t="n"/>
    </row>
    <row r="582">
      <c r="A582" s="3" t="inlineStr">
        <is>
          <t>PushOffDrive</t>
        </is>
      </c>
      <c r="B582" s="3" t="inlineStr">
        <is>
          <t>Act_POD_1205303_171015_613</t>
        </is>
      </c>
      <c r="C582" s="3" t="inlineStr">
        <is>
          <t>1205303</t>
        </is>
      </c>
      <c r="D582" s="9" t="n">
        <v>48</v>
      </c>
      <c r="E582" s="3" t="inlineStr">
        <is>
          <t>703</t>
        </is>
      </c>
      <c r="F582" s="3" t="inlineStr">
        <is>
          <t>613</t>
        </is>
      </c>
      <c r="G582" s="9" t="n">
        <v>297.43</v>
      </c>
      <c r="H582" s="10" t="n">
        <v>45667.71545138889</v>
      </c>
      <c r="I582" s="10" t="n">
        <v>45667.71545138889</v>
      </c>
      <c r="J582" s="10" t="n">
        <v>45667.71679398148</v>
      </c>
      <c r="K582" s="11" t="n">
        <v>0.001342592592592592</v>
      </c>
      <c r="L582" s="13" t="n"/>
    </row>
    <row r="583">
      <c r="A583" s="3" t="inlineStr">
        <is>
          <t>PushOffDrive</t>
        </is>
      </c>
      <c r="B583" s="3" t="inlineStr">
        <is>
          <t>Act_POD_1205401+1205402_201122_625</t>
        </is>
      </c>
      <c r="C583" s="3" t="inlineStr">
        <is>
          <t>1205401+1205402</t>
        </is>
      </c>
      <c r="D583" s="9" t="n">
        <v>96</v>
      </c>
      <c r="E583" s="3" t="inlineStr">
        <is>
          <t>703</t>
        </is>
      </c>
      <c r="F583" s="3" t="inlineStr">
        <is>
          <t>625</t>
        </is>
      </c>
      <c r="G583" s="9" t="n">
        <v>477.75</v>
      </c>
      <c r="H583" s="10" t="n">
        <v>45667.84122685185</v>
      </c>
      <c r="I583" s="10" t="n">
        <v>45667.84122685185</v>
      </c>
      <c r="J583" s="10" t="n">
        <v>45667.8434375</v>
      </c>
      <c r="K583" s="11" t="n">
        <v>0.002210648148148148</v>
      </c>
      <c r="L583" s="13" t="n"/>
    </row>
    <row r="584">
      <c r="A584" s="3" t="inlineStr">
        <is>
          <t>PushOffDrive</t>
        </is>
      </c>
      <c r="B584" s="3" t="inlineStr">
        <is>
          <t>Act_POD_1205403_201433_605</t>
        </is>
      </c>
      <c r="C584" s="3" t="inlineStr">
        <is>
          <t>1205403</t>
        </is>
      </c>
      <c r="D584" s="9" t="n">
        <v>48</v>
      </c>
      <c r="E584" s="3" t="inlineStr">
        <is>
          <t>703</t>
        </is>
      </c>
      <c r="F584" s="3" t="inlineStr">
        <is>
          <t>605</t>
        </is>
      </c>
      <c r="G584" s="9" t="n">
        <v>405.43</v>
      </c>
      <c r="H584" s="10" t="n">
        <v>45667.8434375</v>
      </c>
      <c r="I584" s="10" t="n">
        <v>45667.8434375</v>
      </c>
      <c r="J584" s="10" t="n">
        <v>45667.84523148148</v>
      </c>
      <c r="K584" s="11" t="n">
        <v>0.001793981481481481</v>
      </c>
      <c r="L584" s="13" t="n"/>
    </row>
    <row r="585">
      <c r="A585" s="3" t="inlineStr">
        <is>
          <t>PushOffDrive</t>
        </is>
      </c>
      <c r="B585" s="3" t="inlineStr">
        <is>
          <t>Act_POD_1205501_224205_623</t>
        </is>
      </c>
      <c r="C585" s="3" t="inlineStr">
        <is>
          <t>1205501</t>
        </is>
      </c>
      <c r="D585" s="9" t="n">
        <v>32</v>
      </c>
      <c r="E585" s="3" t="inlineStr">
        <is>
          <t>703</t>
        </is>
      </c>
      <c r="F585" s="3" t="inlineStr">
        <is>
          <t>623</t>
        </is>
      </c>
      <c r="G585" s="9" t="n">
        <v>412.05</v>
      </c>
      <c r="H585" s="10" t="n">
        <v>45667.9458912037</v>
      </c>
      <c r="I585" s="10" t="n">
        <v>45667.9458912037</v>
      </c>
      <c r="J585" s="10" t="n">
        <v>45667.94768518519</v>
      </c>
      <c r="K585" s="11" t="n">
        <v>0.001793981481481481</v>
      </c>
      <c r="L585" s="13" t="n"/>
    </row>
    <row r="586">
      <c r="A586" s="3" t="inlineStr">
        <is>
          <t>PushOffDrive</t>
        </is>
      </c>
      <c r="B586" s="3" t="inlineStr">
        <is>
          <t>Act_POD_1205502_224440_619</t>
        </is>
      </c>
      <c r="C586" s="3" t="inlineStr">
        <is>
          <t>1205502</t>
        </is>
      </c>
      <c r="D586" s="9" t="n">
        <v>32</v>
      </c>
      <c r="E586" s="3" t="inlineStr">
        <is>
          <t>703</t>
        </is>
      </c>
      <c r="F586" s="3" t="inlineStr">
        <is>
          <t>619</t>
        </is>
      </c>
      <c r="G586" s="9" t="n">
        <v>459.96</v>
      </c>
      <c r="H586" s="10" t="n">
        <v>45667.94768518519</v>
      </c>
      <c r="I586" s="10" t="n">
        <v>45667.94768518519</v>
      </c>
      <c r="J586" s="10" t="n">
        <v>45667.94967592593</v>
      </c>
      <c r="K586" s="11" t="n">
        <v>0.001990740740740741</v>
      </c>
      <c r="L586" s="13" t="n"/>
    </row>
    <row r="587">
      <c r="A587" s="3" t="inlineStr">
        <is>
          <t>PushOffDrive</t>
        </is>
      </c>
      <c r="B587" s="3" t="inlineStr">
        <is>
          <t>Act_POD_1205503_224732_623</t>
        </is>
      </c>
      <c r="C587" s="3" t="inlineStr">
        <is>
          <t>1205503</t>
        </is>
      </c>
      <c r="D587" s="9" t="n">
        <v>32</v>
      </c>
      <c r="E587" s="3" t="inlineStr">
        <is>
          <t>703</t>
        </is>
      </c>
      <c r="F587" s="3" t="inlineStr">
        <is>
          <t>623</t>
        </is>
      </c>
      <c r="G587" s="9" t="n">
        <v>412.05</v>
      </c>
      <c r="H587" s="10" t="n">
        <v>45667.94967592593</v>
      </c>
      <c r="I587" s="10" t="n">
        <v>45667.94967592593</v>
      </c>
      <c r="J587" s="10" t="n">
        <v>45667.95146990741</v>
      </c>
      <c r="K587" s="11" t="n">
        <v>0.001793981481481481</v>
      </c>
      <c r="L587" s="13" t="n"/>
    </row>
    <row r="588">
      <c r="A588" s="3" t="inlineStr">
        <is>
          <t>PushOffDrive</t>
        </is>
      </c>
      <c r="B588" s="3" t="inlineStr">
        <is>
          <t>Act_POD_1205601+1205602_061052_619</t>
        </is>
      </c>
      <c r="C588" s="3" t="inlineStr">
        <is>
          <t>1205601+1205602</t>
        </is>
      </c>
      <c r="D588" s="9" t="n">
        <v>112</v>
      </c>
      <c r="E588" s="3" t="inlineStr">
        <is>
          <t>703</t>
        </is>
      </c>
      <c r="F588" s="3" t="inlineStr">
        <is>
          <t>619</t>
        </is>
      </c>
      <c r="G588" s="9" t="n">
        <v>459.96</v>
      </c>
      <c r="H588" s="10" t="n">
        <v>45668.2575462963</v>
      </c>
      <c r="I588" s="10" t="n">
        <v>45668.2575462963</v>
      </c>
      <c r="J588" s="10" t="n">
        <v>45668.25972222222</v>
      </c>
      <c r="K588" s="11" t="n">
        <v>0.002175925925925926</v>
      </c>
      <c r="L588" s="13" t="n"/>
    </row>
    <row r="589">
      <c r="A589" s="3" t="inlineStr">
        <is>
          <t>PushOffDrive</t>
        </is>
      </c>
      <c r="B589" s="3" t="inlineStr">
        <is>
          <t>Act_POD_1205701_062457_615</t>
        </is>
      </c>
      <c r="C589" s="3" t="inlineStr">
        <is>
          <t>1205701</t>
        </is>
      </c>
      <c r="D589" s="9" t="n">
        <v>48</v>
      </c>
      <c r="E589" s="3" t="inlineStr">
        <is>
          <t>727</t>
        </is>
      </c>
      <c r="F589" s="3" t="inlineStr">
        <is>
          <t>615</t>
        </is>
      </c>
      <c r="G589" s="9" t="n">
        <v>263.09</v>
      </c>
      <c r="H589" s="10" t="n">
        <v>45668.26732638889</v>
      </c>
      <c r="I589" s="10" t="n">
        <v>45668.26732638889</v>
      </c>
      <c r="J589" s="10" t="n">
        <v>45668.2685300926</v>
      </c>
      <c r="K589" s="11" t="n">
        <v>0.001203703703703704</v>
      </c>
      <c r="L589" s="13" t="n"/>
    </row>
    <row r="590">
      <c r="A590" s="3" t="inlineStr">
        <is>
          <t>PushOffDrive</t>
        </is>
      </c>
      <c r="B590" s="3" t="inlineStr">
        <is>
          <t>Act_POD_1205702_062641_606</t>
        </is>
      </c>
      <c r="C590" s="3" t="inlineStr">
        <is>
          <t>1205702</t>
        </is>
      </c>
      <c r="D590" s="9" t="n">
        <v>32</v>
      </c>
      <c r="E590" s="3" t="inlineStr">
        <is>
          <t>727</t>
        </is>
      </c>
      <c r="F590" s="3" t="inlineStr">
        <is>
          <t>606</t>
        </is>
      </c>
      <c r="G590" s="9" t="n">
        <v>398.2</v>
      </c>
      <c r="H590" s="10" t="n">
        <v>45668.2685300926</v>
      </c>
      <c r="I590" s="10" t="n">
        <v>45668.2685300926</v>
      </c>
      <c r="J590" s="10" t="n">
        <v>45668.2702662037</v>
      </c>
      <c r="K590" s="11" t="n">
        <v>0.001736111111111111</v>
      </c>
      <c r="L590" s="13" t="n"/>
    </row>
    <row r="591">
      <c r="A591" s="3" t="inlineStr">
        <is>
          <t>PushOffDrive</t>
        </is>
      </c>
      <c r="B591" s="3" t="inlineStr">
        <is>
          <t>Act_POD_1205703_062911_607</t>
        </is>
      </c>
      <c r="C591" s="3" t="inlineStr">
        <is>
          <t>1205703</t>
        </is>
      </c>
      <c r="D591" s="9" t="n">
        <v>48</v>
      </c>
      <c r="E591" s="3" t="inlineStr">
        <is>
          <t>727</t>
        </is>
      </c>
      <c r="F591" s="3" t="inlineStr">
        <is>
          <t>607</t>
        </is>
      </c>
      <c r="G591" s="9" t="n">
        <v>371.57</v>
      </c>
      <c r="H591" s="10" t="n">
        <v>45668.2702662037</v>
      </c>
      <c r="I591" s="10" t="n">
        <v>45668.2702662037</v>
      </c>
      <c r="J591" s="10" t="n">
        <v>45668.2719212963</v>
      </c>
      <c r="K591" s="11" t="n">
        <v>0.001655092592592593</v>
      </c>
      <c r="L591" s="13" t="n"/>
    </row>
    <row r="592">
      <c r="A592" s="3" t="inlineStr">
        <is>
          <t>PushOffDrive</t>
        </is>
      </c>
      <c r="B592" s="3" t="inlineStr">
        <is>
          <t>Act_POD_1205801+1205802+1205803_064207_607</t>
        </is>
      </c>
      <c r="C592" s="3" t="inlineStr">
        <is>
          <t>1205801+1205802+1205803</t>
        </is>
      </c>
      <c r="D592" s="9" t="n">
        <v>128</v>
      </c>
      <c r="E592" s="3" t="inlineStr">
        <is>
          <t>703</t>
        </is>
      </c>
      <c r="F592" s="3" t="inlineStr">
        <is>
          <t>607</t>
        </is>
      </c>
      <c r="G592" s="9" t="n">
        <v>378.4</v>
      </c>
      <c r="H592" s="10" t="n">
        <v>45668.27924768518</v>
      </c>
      <c r="I592" s="10" t="n">
        <v>45668.27924768518</v>
      </c>
      <c r="J592" s="10" t="n">
        <v>45668.28112268518</v>
      </c>
      <c r="K592" s="11" t="n">
        <v>0.001875</v>
      </c>
      <c r="L592" s="13" t="n"/>
    </row>
    <row r="593">
      <c r="A593" s="3" t="inlineStr">
        <is>
          <t>PushOffDrive</t>
        </is>
      </c>
      <c r="B593" s="3" t="inlineStr">
        <is>
          <t>Act_POD_1205901+1205902+1205903_070658_623</t>
        </is>
      </c>
      <c r="C593" s="3" t="inlineStr">
        <is>
          <t>1205901+1205902+1205903</t>
        </is>
      </c>
      <c r="D593" s="9" t="n">
        <v>112</v>
      </c>
      <c r="E593" s="3" t="inlineStr">
        <is>
          <t>703</t>
        </is>
      </c>
      <c r="F593" s="3" t="inlineStr">
        <is>
          <t>623</t>
        </is>
      </c>
      <c r="G593" s="9" t="n">
        <v>412.05</v>
      </c>
      <c r="H593" s="10" t="n">
        <v>45668.29650462963</v>
      </c>
      <c r="I593" s="10" t="n">
        <v>45668.29650462963</v>
      </c>
      <c r="J593" s="10" t="n">
        <v>45668.29848379629</v>
      </c>
      <c r="K593" s="11" t="n">
        <v>0.001979166666666667</v>
      </c>
      <c r="L593" s="13" t="n"/>
    </row>
    <row r="594">
      <c r="A594" s="3" t="inlineStr">
        <is>
          <t>PushOffDrive</t>
        </is>
      </c>
      <c r="B594" s="3" t="inlineStr">
        <is>
          <t>Act_POD_1206001_072911_625</t>
        </is>
      </c>
      <c r="C594" s="3" t="inlineStr">
        <is>
          <t>1206001</t>
        </is>
      </c>
      <c r="D594" s="9" t="n">
        <v>32</v>
      </c>
      <c r="E594" s="3" t="inlineStr">
        <is>
          <t>703</t>
        </is>
      </c>
      <c r="F594" s="3" t="inlineStr">
        <is>
          <t>625</t>
        </is>
      </c>
      <c r="G594" s="9" t="n">
        <v>477.75</v>
      </c>
      <c r="H594" s="10" t="n">
        <v>45668.31193287037</v>
      </c>
      <c r="I594" s="10" t="n">
        <v>45668.31193287037</v>
      </c>
      <c r="J594" s="10" t="n">
        <v>45668.31400462963</v>
      </c>
      <c r="K594" s="11" t="n">
        <v>0.002071759259259259</v>
      </c>
      <c r="L594" s="13" t="n"/>
    </row>
    <row r="595">
      <c r="A595" s="3" t="inlineStr">
        <is>
          <t>PushOffDrive</t>
        </is>
      </c>
      <c r="B595" s="3" t="inlineStr">
        <is>
          <t>Act_POD_1206002_073210_627</t>
        </is>
      </c>
      <c r="C595" s="3" t="inlineStr">
        <is>
          <t>1206002</t>
        </is>
      </c>
      <c r="D595" s="9" t="n">
        <v>32</v>
      </c>
      <c r="E595" s="3" t="inlineStr">
        <is>
          <t>703</t>
        </is>
      </c>
      <c r="F595" s="3" t="inlineStr">
        <is>
          <t>627</t>
        </is>
      </c>
      <c r="G595" s="9" t="n">
        <v>450.42</v>
      </c>
      <c r="H595" s="10" t="n">
        <v>45668.31400462963</v>
      </c>
      <c r="I595" s="10" t="n">
        <v>45668.31400462963</v>
      </c>
      <c r="J595" s="10" t="n">
        <v>45668.31594907407</v>
      </c>
      <c r="K595" s="11" t="n">
        <v>0.001944444444444444</v>
      </c>
      <c r="L595" s="13" t="n"/>
    </row>
    <row r="596">
      <c r="A596" s="3" t="inlineStr">
        <is>
          <t>PushOffDrive</t>
        </is>
      </c>
      <c r="B596" s="3" t="inlineStr">
        <is>
          <t>Act_POD_1206003_073458_615</t>
        </is>
      </c>
      <c r="C596" s="3" t="inlineStr">
        <is>
          <t>1206003</t>
        </is>
      </c>
      <c r="D596" s="9" t="n">
        <v>48</v>
      </c>
      <c r="E596" s="3" t="inlineStr">
        <is>
          <t>703</t>
        </is>
      </c>
      <c r="F596" s="3" t="inlineStr">
        <is>
          <t>615</t>
        </is>
      </c>
      <c r="G596" s="9" t="n">
        <v>269.92</v>
      </c>
      <c r="H596" s="10" t="n">
        <v>45668.31594907407</v>
      </c>
      <c r="I596" s="10" t="n">
        <v>45668.31594907407</v>
      </c>
      <c r="J596" s="10" t="n">
        <v>45668.3171875</v>
      </c>
      <c r="K596" s="11" t="n">
        <v>0.001238425925925926</v>
      </c>
      <c r="L596" s="13" t="n"/>
    </row>
    <row r="597">
      <c r="A597" s="3" t="inlineStr">
        <is>
          <t>PushOffDrive</t>
        </is>
      </c>
      <c r="B597" s="3" t="inlineStr">
        <is>
          <t>Act_POD_1206101_121058_625</t>
        </is>
      </c>
      <c r="C597" s="3" t="inlineStr">
        <is>
          <t>1206101</t>
        </is>
      </c>
      <c r="D597" s="9" t="n">
        <v>80</v>
      </c>
      <c r="E597" s="3" t="inlineStr">
        <is>
          <t>703</t>
        </is>
      </c>
      <c r="F597" s="3" t="inlineStr">
        <is>
          <t>625</t>
        </is>
      </c>
      <c r="G597" s="9" t="n">
        <v>477.75</v>
      </c>
      <c r="H597" s="10" t="n">
        <v>45668.50761574074</v>
      </c>
      <c r="I597" s="10" t="n">
        <v>45668.50761574074</v>
      </c>
      <c r="J597" s="10" t="n">
        <v>45668.50979166666</v>
      </c>
      <c r="K597" s="11" t="n">
        <v>0.002175925925925926</v>
      </c>
      <c r="L597" s="13" t="n"/>
    </row>
    <row r="598">
      <c r="A598" s="3" t="inlineStr">
        <is>
          <t>PushOffDrive</t>
        </is>
      </c>
      <c r="B598" s="3" t="inlineStr">
        <is>
          <t>Act_POD_1206102_121406_613</t>
        </is>
      </c>
      <c r="C598" s="3" t="inlineStr">
        <is>
          <t>1206102</t>
        </is>
      </c>
      <c r="D598" s="9" t="n">
        <v>32</v>
      </c>
      <c r="E598" s="3" t="inlineStr">
        <is>
          <t>703</t>
        </is>
      </c>
      <c r="F598" s="3" t="inlineStr">
        <is>
          <t>613</t>
        </is>
      </c>
      <c r="G598" s="9" t="n">
        <v>297.43</v>
      </c>
      <c r="H598" s="10" t="n">
        <v>45668.50979166666</v>
      </c>
      <c r="I598" s="10" t="n">
        <v>45668.50979166666</v>
      </c>
      <c r="J598" s="10" t="n">
        <v>45668.51109953703</v>
      </c>
      <c r="K598" s="11" t="n">
        <v>0.00130787037037037</v>
      </c>
      <c r="L598" s="13" t="n"/>
    </row>
    <row r="599">
      <c r="A599" s="3" t="inlineStr">
        <is>
          <t>PushOffDrive</t>
        </is>
      </c>
      <c r="B599" s="3" t="inlineStr">
        <is>
          <t>Act_POD_1206201+1206202_122810_605</t>
        </is>
      </c>
      <c r="C599" s="3" t="inlineStr">
        <is>
          <t>1206201+1206202</t>
        </is>
      </c>
      <c r="D599" s="9" t="n">
        <v>112</v>
      </c>
      <c r="E599" s="3" t="inlineStr">
        <is>
          <t>703</t>
        </is>
      </c>
      <c r="F599" s="3" t="inlineStr">
        <is>
          <t>605</t>
        </is>
      </c>
      <c r="G599" s="9" t="n">
        <v>405.43</v>
      </c>
      <c r="H599" s="10" t="n">
        <v>45668.51956018519</v>
      </c>
      <c r="I599" s="10" t="n">
        <v>45668.51956018519</v>
      </c>
      <c r="J599" s="10" t="n">
        <v>45668.52150462963</v>
      </c>
      <c r="K599" s="11" t="n">
        <v>0.001944444444444444</v>
      </c>
      <c r="L599" s="13" t="n"/>
    </row>
    <row r="600">
      <c r="A600" s="3" t="inlineStr">
        <is>
          <t>PushOffDrive</t>
        </is>
      </c>
      <c r="B600" s="3" t="inlineStr">
        <is>
          <t>Act_POD_1206203_123058_606</t>
        </is>
      </c>
      <c r="C600" s="3" t="inlineStr">
        <is>
          <t>1206203</t>
        </is>
      </c>
      <c r="D600" s="9" t="n">
        <v>32</v>
      </c>
      <c r="E600" s="3" t="inlineStr">
        <is>
          <t>703</t>
        </is>
      </c>
      <c r="F600" s="3" t="inlineStr">
        <is>
          <t>606</t>
        </is>
      </c>
      <c r="G600" s="9" t="n">
        <v>405.03</v>
      </c>
      <c r="H600" s="10" t="n">
        <v>45668.52150462963</v>
      </c>
      <c r="I600" s="10" t="n">
        <v>45668.52150462963</v>
      </c>
      <c r="J600" s="10" t="n">
        <v>45668.52326388889</v>
      </c>
      <c r="K600" s="11" t="n">
        <v>0.001759259259259259</v>
      </c>
      <c r="L600" s="13" t="n"/>
    </row>
    <row r="601">
      <c r="A601" s="3" t="inlineStr">
        <is>
          <t>PushOffDrive</t>
        </is>
      </c>
      <c r="B601" s="3" t="inlineStr">
        <is>
          <t>Act_POD_1206301+1206302_124055_615</t>
        </is>
      </c>
      <c r="C601" s="3" t="inlineStr">
        <is>
          <t>1206301+1206302</t>
        </is>
      </c>
      <c r="D601" s="9" t="n">
        <v>112</v>
      </c>
      <c r="E601" s="3" t="inlineStr">
        <is>
          <t>727</t>
        </is>
      </c>
      <c r="F601" s="3" t="inlineStr">
        <is>
          <t>615</t>
        </is>
      </c>
      <c r="G601" s="9" t="n">
        <v>263.09</v>
      </c>
      <c r="H601" s="10" t="n">
        <v>45668.52841435185</v>
      </c>
      <c r="I601" s="10" t="n">
        <v>45668.52841435185</v>
      </c>
      <c r="J601" s="10" t="n">
        <v>45668.52976851852</v>
      </c>
      <c r="K601" s="11" t="n">
        <v>0.001354166666666667</v>
      </c>
      <c r="L601" s="13" t="n"/>
    </row>
    <row r="602">
      <c r="A602" s="3" t="inlineStr">
        <is>
          <t>PushOffDrive</t>
        </is>
      </c>
      <c r="B602" s="3" t="inlineStr">
        <is>
          <t>Act_POD_1206401_124843_627</t>
        </is>
      </c>
      <c r="C602" s="3" t="inlineStr">
        <is>
          <t>1206401</t>
        </is>
      </c>
      <c r="D602" s="9" t="n">
        <v>48</v>
      </c>
      <c r="E602" s="3" t="inlineStr">
        <is>
          <t>703</t>
        </is>
      </c>
      <c r="F602" s="3" t="inlineStr">
        <is>
          <t>627</t>
        </is>
      </c>
      <c r="G602" s="9" t="n">
        <v>450.42</v>
      </c>
      <c r="H602" s="10" t="n">
        <v>45668.53383101852</v>
      </c>
      <c r="I602" s="10" t="n">
        <v>45668.53383101852</v>
      </c>
      <c r="J602" s="10" t="n">
        <v>45668.53582175926</v>
      </c>
      <c r="K602" s="11" t="n">
        <v>0.001990740740740741</v>
      </c>
      <c r="L602" s="13" t="n"/>
    </row>
    <row r="603">
      <c r="A603" s="3" t="inlineStr">
        <is>
          <t>PushOffDrive</t>
        </is>
      </c>
      <c r="B603" s="3" t="inlineStr">
        <is>
          <t>Act_POD_1206402_125135_625</t>
        </is>
      </c>
      <c r="C603" s="3" t="inlineStr">
        <is>
          <t>1206402</t>
        </is>
      </c>
      <c r="D603" s="9" t="n">
        <v>32</v>
      </c>
      <c r="E603" s="3" t="inlineStr">
        <is>
          <t>703</t>
        </is>
      </c>
      <c r="F603" s="3" t="inlineStr">
        <is>
          <t>625</t>
        </is>
      </c>
      <c r="G603" s="9" t="n">
        <v>477.75</v>
      </c>
      <c r="H603" s="10" t="n">
        <v>45668.53582175926</v>
      </c>
      <c r="I603" s="10" t="n">
        <v>45668.53582175926</v>
      </c>
      <c r="J603" s="10" t="n">
        <v>45668.53788194444</v>
      </c>
      <c r="K603" s="11" t="n">
        <v>0.002060185185185185</v>
      </c>
      <c r="L603" s="13" t="n"/>
    </row>
    <row r="604">
      <c r="A604" s="3" t="inlineStr">
        <is>
          <t>PushOffDrive</t>
        </is>
      </c>
      <c r="B604" s="3" t="inlineStr">
        <is>
          <t>Act_POD_1206403_125433_619</t>
        </is>
      </c>
      <c r="C604" s="3" t="inlineStr">
        <is>
          <t>1206403</t>
        </is>
      </c>
      <c r="D604" s="9" t="n">
        <v>48</v>
      </c>
      <c r="E604" s="3" t="inlineStr">
        <is>
          <t>703</t>
        </is>
      </c>
      <c r="F604" s="3" t="inlineStr">
        <is>
          <t>619</t>
        </is>
      </c>
      <c r="G604" s="9" t="n">
        <v>459.96</v>
      </c>
      <c r="H604" s="10" t="n">
        <v>45668.53788194444</v>
      </c>
      <c r="I604" s="10" t="n">
        <v>45668.53788194444</v>
      </c>
      <c r="J604" s="10" t="n">
        <v>45668.53990740741</v>
      </c>
      <c r="K604" s="11" t="n">
        <v>0.002025462962962963</v>
      </c>
      <c r="L604" s="13" t="n"/>
    </row>
    <row r="605">
      <c r="A605" s="3" t="inlineStr">
        <is>
          <t>PushOffDrive</t>
        </is>
      </c>
      <c r="B605" s="3" t="inlineStr">
        <is>
          <t>Act_POD_1206501+1206502_130521_613</t>
        </is>
      </c>
      <c r="C605" s="3" t="inlineStr">
        <is>
          <t>1206501+1206502</t>
        </is>
      </c>
      <c r="D605" s="9" t="n">
        <v>96</v>
      </c>
      <c r="E605" s="3" t="inlineStr">
        <is>
          <t>727</t>
        </is>
      </c>
      <c r="F605" s="3" t="inlineStr">
        <is>
          <t>613</t>
        </is>
      </c>
      <c r="G605" s="9" t="n">
        <v>290.6</v>
      </c>
      <c r="H605" s="10" t="n">
        <v>45668.54538194444</v>
      </c>
      <c r="I605" s="10" t="n">
        <v>45668.54538194444</v>
      </c>
      <c r="J605" s="10" t="n">
        <v>45668.54681712963</v>
      </c>
      <c r="K605" s="11" t="n">
        <v>0.001435185185185185</v>
      </c>
      <c r="L605" s="13" t="n"/>
    </row>
    <row r="606">
      <c r="A606" s="3" t="inlineStr">
        <is>
          <t>PushOffDrive</t>
        </is>
      </c>
      <c r="B606" s="3" t="inlineStr">
        <is>
          <t>Act_POD_1206503_130725_623</t>
        </is>
      </c>
      <c r="C606" s="3" t="inlineStr">
        <is>
          <t>1206503</t>
        </is>
      </c>
      <c r="D606" s="9" t="n">
        <v>32</v>
      </c>
      <c r="E606" s="3" t="inlineStr">
        <is>
          <t>727</t>
        </is>
      </c>
      <c r="F606" s="3" t="inlineStr">
        <is>
          <t>623</t>
        </is>
      </c>
      <c r="G606" s="9" t="n">
        <v>405.22</v>
      </c>
      <c r="H606" s="10" t="n">
        <v>45668.54681712963</v>
      </c>
      <c r="I606" s="10" t="n">
        <v>45668.54681712963</v>
      </c>
      <c r="J606" s="10" t="n">
        <v>45668.54857638889</v>
      </c>
      <c r="K606" s="11" t="n">
        <v>0.001759259259259259</v>
      </c>
      <c r="L606" s="13" t="n"/>
    </row>
    <row r="607">
      <c r="A607" s="3" t="inlineStr">
        <is>
          <t>PushOffDrive</t>
        </is>
      </c>
      <c r="B607" s="3" t="inlineStr">
        <is>
          <t>Act_POD_1206504_130957_613</t>
        </is>
      </c>
      <c r="C607" s="3" t="inlineStr">
        <is>
          <t>1206504</t>
        </is>
      </c>
      <c r="D607" s="9" t="n">
        <v>80</v>
      </c>
      <c r="E607" s="3" t="inlineStr">
        <is>
          <t>727</t>
        </is>
      </c>
      <c r="F607" s="3" t="inlineStr">
        <is>
          <t>613</t>
        </is>
      </c>
      <c r="G607" s="9" t="n">
        <v>290.6</v>
      </c>
      <c r="H607" s="10" t="n">
        <v>45668.54857638889</v>
      </c>
      <c r="I607" s="10" t="n">
        <v>45668.54857638889</v>
      </c>
      <c r="J607" s="10" t="n">
        <v>45668.54997685185</v>
      </c>
      <c r="K607" s="11" t="n">
        <v>0.001400462962962963</v>
      </c>
      <c r="L607" s="13" t="n"/>
    </row>
    <row r="608">
      <c r="A608" s="3" t="inlineStr">
        <is>
          <t>PushOffDrive</t>
        </is>
      </c>
      <c r="B608" s="3" t="inlineStr">
        <is>
          <t>Act_POD_1206601_131434_607</t>
        </is>
      </c>
      <c r="C608" s="3" t="inlineStr">
        <is>
          <t>1206601</t>
        </is>
      </c>
      <c r="D608" s="9" t="n">
        <v>48</v>
      </c>
      <c r="E608" s="3" t="inlineStr">
        <is>
          <t>703</t>
        </is>
      </c>
      <c r="F608" s="3" t="inlineStr">
        <is>
          <t>607</t>
        </is>
      </c>
      <c r="G608" s="9" t="n">
        <v>378.4</v>
      </c>
      <c r="H608" s="10" t="n">
        <v>45668.5517824074</v>
      </c>
      <c r="I608" s="10" t="n">
        <v>45668.5517824074</v>
      </c>
      <c r="J608" s="10" t="n">
        <v>45668.55346064815</v>
      </c>
      <c r="K608" s="11" t="n">
        <v>0.001678240740740741</v>
      </c>
      <c r="L608" s="13" t="n"/>
    </row>
    <row r="609">
      <c r="A609" s="3" t="inlineStr">
        <is>
          <t>PushOffDrive</t>
        </is>
      </c>
      <c r="B609" s="3" t="inlineStr">
        <is>
          <t>Act_POD_1206602_131659_609</t>
        </is>
      </c>
      <c r="C609" s="3" t="inlineStr">
        <is>
          <t>1206602</t>
        </is>
      </c>
      <c r="D609" s="9" t="n">
        <v>48</v>
      </c>
      <c r="E609" s="3" t="inlineStr">
        <is>
          <t>703</t>
        </is>
      </c>
      <c r="F609" s="3" t="inlineStr">
        <is>
          <t>609</t>
        </is>
      </c>
      <c r="G609" s="9" t="n">
        <v>350.87</v>
      </c>
      <c r="H609" s="10" t="n">
        <v>45668.55346064815</v>
      </c>
      <c r="I609" s="10" t="n">
        <v>45668.55346064815</v>
      </c>
      <c r="J609" s="10" t="n">
        <v>45668.55503472222</v>
      </c>
      <c r="K609" s="11" t="n">
        <v>0.001574074074074074</v>
      </c>
      <c r="L609" s="13" t="n"/>
    </row>
    <row r="610">
      <c r="A610" s="3" t="inlineStr">
        <is>
          <t>PushOffDrive</t>
        </is>
      </c>
      <c r="B610" s="3" t="inlineStr">
        <is>
          <t>Act_POD_1206701_180959_606</t>
        </is>
      </c>
      <c r="C610" s="3" t="inlineStr">
        <is>
          <t>1206701</t>
        </is>
      </c>
      <c r="D610" s="9" t="n">
        <v>32</v>
      </c>
      <c r="E610" s="3" t="inlineStr">
        <is>
          <t>703</t>
        </is>
      </c>
      <c r="F610" s="3" t="inlineStr">
        <is>
          <t>606</t>
        </is>
      </c>
      <c r="G610" s="9" t="n">
        <v>405.03</v>
      </c>
      <c r="H610" s="10" t="n">
        <v>45668.75693287037</v>
      </c>
      <c r="I610" s="10" t="n">
        <v>45668.75693287037</v>
      </c>
      <c r="J610" s="10" t="n">
        <v>45668.75869212963</v>
      </c>
      <c r="K610" s="11" t="n">
        <v>0.001759259259259259</v>
      </c>
      <c r="L610" s="13" t="n"/>
    </row>
    <row r="611">
      <c r="A611" s="3" t="inlineStr">
        <is>
          <t>PushOffDrive</t>
        </is>
      </c>
      <c r="B611" s="3" t="inlineStr">
        <is>
          <t>Act_POD_1206702_181231_615</t>
        </is>
      </c>
      <c r="C611" s="3" t="inlineStr">
        <is>
          <t>1206702</t>
        </is>
      </c>
      <c r="D611" s="9" t="n">
        <v>48</v>
      </c>
      <c r="E611" s="3" t="inlineStr">
        <is>
          <t>703</t>
        </is>
      </c>
      <c r="F611" s="3" t="inlineStr">
        <is>
          <t>615</t>
        </is>
      </c>
      <c r="G611" s="9" t="n">
        <v>269.92</v>
      </c>
      <c r="H611" s="10" t="n">
        <v>45668.75869212963</v>
      </c>
      <c r="I611" s="10" t="n">
        <v>45668.75869212963</v>
      </c>
      <c r="J611" s="10" t="n">
        <v>45668.75993055556</v>
      </c>
      <c r="K611" s="11" t="n">
        <v>0.001238425925925926</v>
      </c>
      <c r="L611" s="13" t="n"/>
    </row>
    <row r="612">
      <c r="A612" s="3" t="inlineStr">
        <is>
          <t>PushOffDrive</t>
        </is>
      </c>
      <c r="B612" s="3" t="inlineStr">
        <is>
          <t>Act_POD_1206801_211530_607</t>
        </is>
      </c>
      <c r="C612" s="3" t="inlineStr">
        <is>
          <t>1206801</t>
        </is>
      </c>
      <c r="D612" s="9" t="n">
        <v>64</v>
      </c>
      <c r="E612" s="3" t="inlineStr">
        <is>
          <t>703</t>
        </is>
      </c>
      <c r="F612" s="3" t="inlineStr">
        <is>
          <t>607</t>
        </is>
      </c>
      <c r="G612" s="9" t="n">
        <v>378.4</v>
      </c>
      <c r="H612" s="10" t="n">
        <v>45668.88576388889</v>
      </c>
      <c r="I612" s="10" t="n">
        <v>45668.88576388889</v>
      </c>
      <c r="J612" s="10" t="n">
        <v>45668.88748842593</v>
      </c>
      <c r="K612" s="11" t="n">
        <v>0.001724537037037037</v>
      </c>
      <c r="L612" s="13" t="n"/>
    </row>
    <row r="613">
      <c r="A613" s="3" t="inlineStr">
        <is>
          <t>PushOffDrive</t>
        </is>
      </c>
      <c r="B613" s="3" t="inlineStr">
        <is>
          <t>Act_POD_1206802+1206803+1206804_211759_606</t>
        </is>
      </c>
      <c r="C613" s="3" t="inlineStr">
        <is>
          <t>1206802+1206803+1206804</t>
        </is>
      </c>
      <c r="D613" s="9" t="n">
        <v>160</v>
      </c>
      <c r="E613" s="3" t="inlineStr">
        <is>
          <t>703</t>
        </is>
      </c>
      <c r="F613" s="3" t="inlineStr">
        <is>
          <t>606</t>
        </is>
      </c>
      <c r="G613" s="9" t="n">
        <v>405.03</v>
      </c>
      <c r="H613" s="10" t="n">
        <v>45668.88748842593</v>
      </c>
      <c r="I613" s="10" t="n">
        <v>45668.88748842593</v>
      </c>
      <c r="J613" s="10" t="n">
        <v>45668.88954861111</v>
      </c>
      <c r="K613" s="11" t="n">
        <v>0.002060185185185185</v>
      </c>
      <c r="L613" s="13" t="n"/>
    </row>
    <row r="614">
      <c r="A614" s="3" t="inlineStr">
        <is>
          <t>PushOffDrive</t>
        </is>
      </c>
      <c r="B614" s="3" t="inlineStr">
        <is>
          <t>Act_POD_1206805_212057_613</t>
        </is>
      </c>
      <c r="C614" s="3" t="inlineStr">
        <is>
          <t>1206805</t>
        </is>
      </c>
      <c r="D614" s="9" t="n">
        <v>80</v>
      </c>
      <c r="E614" s="3" t="inlineStr">
        <is>
          <t>703</t>
        </is>
      </c>
      <c r="F614" s="3" t="inlineStr">
        <is>
          <t>613</t>
        </is>
      </c>
      <c r="G614" s="9" t="n">
        <v>297.43</v>
      </c>
      <c r="H614" s="10" t="n">
        <v>45668.88954861111</v>
      </c>
      <c r="I614" s="10" t="n">
        <v>45668.88954861111</v>
      </c>
      <c r="J614" s="10" t="n">
        <v>45668.89097222222</v>
      </c>
      <c r="K614" s="11" t="n">
        <v>0.001423611111111111</v>
      </c>
      <c r="L614" s="13" t="n"/>
    </row>
    <row r="615">
      <c r="A615" s="3" t="inlineStr">
        <is>
          <t>PushOffDrive</t>
        </is>
      </c>
      <c r="B615" s="3" t="inlineStr">
        <is>
          <t>Act_POD_1206901+1206902_234105_627</t>
        </is>
      </c>
      <c r="C615" s="3" t="inlineStr">
        <is>
          <t>1206901+1206902</t>
        </is>
      </c>
      <c r="D615" s="9" t="n">
        <v>128</v>
      </c>
      <c r="E615" s="3" t="inlineStr">
        <is>
          <t>703</t>
        </is>
      </c>
      <c r="F615" s="3" t="inlineStr">
        <is>
          <t>627</t>
        </is>
      </c>
      <c r="G615" s="9" t="n">
        <v>450.42</v>
      </c>
      <c r="H615" s="10" t="n">
        <v>45668.98686342593</v>
      </c>
      <c r="I615" s="10" t="n">
        <v>45668.98686342593</v>
      </c>
      <c r="J615" s="10" t="n">
        <v>45668.98903935185</v>
      </c>
      <c r="K615" s="11" t="n">
        <v>0.002175925925925926</v>
      </c>
      <c r="L615" s="13" t="n"/>
    </row>
    <row r="616">
      <c r="A616" s="3" t="inlineStr">
        <is>
          <t>PushOffDrive</t>
        </is>
      </c>
      <c r="B616" s="3" t="inlineStr">
        <is>
          <t>Act_POD_1206903_234413_625</t>
        </is>
      </c>
      <c r="C616" s="3" t="inlineStr">
        <is>
          <t>1206903</t>
        </is>
      </c>
      <c r="D616" s="9" t="n">
        <v>32</v>
      </c>
      <c r="E616" s="3" t="inlineStr">
        <is>
          <t>703</t>
        </is>
      </c>
      <c r="F616" s="3" t="inlineStr">
        <is>
          <t>625</t>
        </is>
      </c>
      <c r="G616" s="9" t="n">
        <v>477.75</v>
      </c>
      <c r="H616" s="10" t="n">
        <v>45668.98903935185</v>
      </c>
      <c r="I616" s="10" t="n">
        <v>45668.98903935185</v>
      </c>
      <c r="J616" s="10" t="n">
        <v>45668.99109953704</v>
      </c>
      <c r="K616" s="11" t="n">
        <v>0.002060185185185185</v>
      </c>
      <c r="L616" s="13" t="n"/>
    </row>
    <row r="617">
      <c r="A617" s="3" t="inlineStr">
        <is>
          <t>PushOffDrive</t>
        </is>
      </c>
      <c r="B617" s="3" t="inlineStr">
        <is>
          <t>Act_POD_1207001_081538_619</t>
        </is>
      </c>
      <c r="C617" s="3" t="inlineStr">
        <is>
          <t>1207001</t>
        </is>
      </c>
      <c r="D617" s="9" t="n">
        <v>32</v>
      </c>
      <c r="E617" s="3" t="inlineStr">
        <is>
          <t>703</t>
        </is>
      </c>
      <c r="F617" s="3" t="inlineStr">
        <is>
          <t>619</t>
        </is>
      </c>
      <c r="G617" s="9" t="n">
        <v>459.96</v>
      </c>
      <c r="H617" s="10" t="n">
        <v>45669.34418981482</v>
      </c>
      <c r="I617" s="10" t="n">
        <v>45669.34418981482</v>
      </c>
      <c r="J617" s="10" t="n">
        <v>45669.34618055556</v>
      </c>
      <c r="K617" s="11" t="n">
        <v>0.001990740740740741</v>
      </c>
      <c r="L617" s="13" t="n"/>
    </row>
    <row r="618">
      <c r="A618" s="3" t="inlineStr">
        <is>
          <t>PushOffDrive</t>
        </is>
      </c>
      <c r="B618" s="3" t="inlineStr">
        <is>
          <t>Act_POD_1207002_081830_615</t>
        </is>
      </c>
      <c r="C618" s="3" t="inlineStr">
        <is>
          <t>1207002</t>
        </is>
      </c>
      <c r="D618" s="9" t="n">
        <v>48</v>
      </c>
      <c r="E618" s="3" t="inlineStr">
        <is>
          <t>703</t>
        </is>
      </c>
      <c r="F618" s="3" t="inlineStr">
        <is>
          <t>615</t>
        </is>
      </c>
      <c r="G618" s="9" t="n">
        <v>269.92</v>
      </c>
      <c r="H618" s="10" t="n">
        <v>45669.34618055556</v>
      </c>
      <c r="I618" s="10" t="n">
        <v>45669.34618055556</v>
      </c>
      <c r="J618" s="10" t="n">
        <v>45669.34741898148</v>
      </c>
      <c r="K618" s="11" t="n">
        <v>0.001238425925925926</v>
      </c>
      <c r="L618" s="13" t="n"/>
    </row>
    <row r="619">
      <c r="A619" s="3" t="inlineStr">
        <is>
          <t>PushOffDrive</t>
        </is>
      </c>
      <c r="B619" s="3" t="inlineStr">
        <is>
          <t>Act_POD_1207003+1207004_082017_619</t>
        </is>
      </c>
      <c r="C619" s="3" t="inlineStr">
        <is>
          <t>1207003+1207004</t>
        </is>
      </c>
      <c r="D619" s="9" t="n">
        <v>80</v>
      </c>
      <c r="E619" s="3" t="inlineStr">
        <is>
          <t>703</t>
        </is>
      </c>
      <c r="F619" s="3" t="inlineStr">
        <is>
          <t>619</t>
        </is>
      </c>
      <c r="G619" s="9" t="n">
        <v>459.96</v>
      </c>
      <c r="H619" s="10" t="n">
        <v>45669.34741898148</v>
      </c>
      <c r="I619" s="10" t="n">
        <v>45669.34741898148</v>
      </c>
      <c r="J619" s="10" t="n">
        <v>45669.34951388889</v>
      </c>
      <c r="K619" s="11" t="n">
        <v>0.002094907407407407</v>
      </c>
      <c r="L619" s="13" t="n"/>
    </row>
    <row r="620">
      <c r="A620" s="3" t="inlineStr">
        <is>
          <t>PushOffDrive</t>
        </is>
      </c>
      <c r="B620" s="3" t="inlineStr">
        <is>
          <t>Act_POD_1207005_082318_615</t>
        </is>
      </c>
      <c r="C620" s="3" t="inlineStr">
        <is>
          <t>1207005</t>
        </is>
      </c>
      <c r="D620" s="9" t="n">
        <v>48</v>
      </c>
      <c r="E620" s="3" t="inlineStr">
        <is>
          <t>703</t>
        </is>
      </c>
      <c r="F620" s="3" t="inlineStr">
        <is>
          <t>615</t>
        </is>
      </c>
      <c r="G620" s="9" t="n">
        <v>269.92</v>
      </c>
      <c r="H620" s="10" t="n">
        <v>45669.34951388889</v>
      </c>
      <c r="I620" s="10" t="n">
        <v>45669.34951388889</v>
      </c>
      <c r="J620" s="10" t="n">
        <v>45669.35075231481</v>
      </c>
      <c r="K620" s="11" t="n">
        <v>0.001238425925925926</v>
      </c>
      <c r="L620" s="13" t="n"/>
    </row>
    <row r="621">
      <c r="A621" s="3" t="inlineStr">
        <is>
          <t>PushOffDrive</t>
        </is>
      </c>
      <c r="B621" s="3" t="inlineStr">
        <is>
          <t>Act_POD_1207101_093739_609</t>
        </is>
      </c>
      <c r="C621" s="3" t="inlineStr">
        <is>
          <t>1207101</t>
        </is>
      </c>
      <c r="D621" s="9" t="n">
        <v>80</v>
      </c>
      <c r="E621" s="3" t="inlineStr">
        <is>
          <t>703</t>
        </is>
      </c>
      <c r="F621" s="3" t="inlineStr">
        <is>
          <t>609</t>
        </is>
      </c>
      <c r="G621" s="9" t="n">
        <v>350.87</v>
      </c>
      <c r="H621" s="10" t="n">
        <v>45669.40114583333</v>
      </c>
      <c r="I621" s="10" t="n">
        <v>45669.40114583333</v>
      </c>
      <c r="J621" s="10" t="n">
        <v>45669.40280092593</v>
      </c>
      <c r="K621" s="11" t="n">
        <v>0.001655092592592593</v>
      </c>
      <c r="L621" s="13" t="n"/>
    </row>
    <row r="622">
      <c r="A622" s="3" t="inlineStr">
        <is>
          <t>PushOffDrive</t>
        </is>
      </c>
      <c r="B622" s="3" t="inlineStr">
        <is>
          <t>Act_POD_1207102_094002_625</t>
        </is>
      </c>
      <c r="C622" s="3" t="inlineStr">
        <is>
          <t>1207102</t>
        </is>
      </c>
      <c r="D622" s="9" t="n">
        <v>48</v>
      </c>
      <c r="E622" s="3" t="inlineStr">
        <is>
          <t>703</t>
        </is>
      </c>
      <c r="F622" s="3" t="inlineStr">
        <is>
          <t>625</t>
        </is>
      </c>
      <c r="G622" s="9" t="n">
        <v>477.75</v>
      </c>
      <c r="H622" s="10" t="n">
        <v>45669.40280092593</v>
      </c>
      <c r="I622" s="10" t="n">
        <v>45669.40280092593</v>
      </c>
      <c r="J622" s="10" t="n">
        <v>45669.40489583334</v>
      </c>
      <c r="K622" s="11" t="n">
        <v>0.002094907407407407</v>
      </c>
      <c r="L622" s="13" t="n"/>
    </row>
    <row r="623">
      <c r="A623" s="3" t="inlineStr">
        <is>
          <t>PushOffDrive</t>
        </is>
      </c>
      <c r="B623" s="3" t="inlineStr">
        <is>
          <t>Act_POD_1207103_094303_615</t>
        </is>
      </c>
      <c r="C623" s="3" t="inlineStr">
        <is>
          <t>1207103</t>
        </is>
      </c>
      <c r="D623" s="9" t="n">
        <v>48</v>
      </c>
      <c r="E623" s="3" t="inlineStr">
        <is>
          <t>703</t>
        </is>
      </c>
      <c r="F623" s="3" t="inlineStr">
        <is>
          <t>615</t>
        </is>
      </c>
      <c r="G623" s="9" t="n">
        <v>269.92</v>
      </c>
      <c r="H623" s="10" t="n">
        <v>45669.40489583334</v>
      </c>
      <c r="I623" s="10" t="n">
        <v>45669.40489583334</v>
      </c>
      <c r="J623" s="10" t="n">
        <v>45669.40613425926</v>
      </c>
      <c r="K623" s="11" t="n">
        <v>0.001238425925925926</v>
      </c>
      <c r="L623" s="13" t="n"/>
    </row>
    <row r="624">
      <c r="A624" s="3" t="inlineStr">
        <is>
          <t>PushOffDrive</t>
        </is>
      </c>
      <c r="B624" s="3" t="inlineStr">
        <is>
          <t>Act_POD_1207201_102043_623</t>
        </is>
      </c>
      <c r="C624" s="3" t="inlineStr">
        <is>
          <t>1207201</t>
        </is>
      </c>
      <c r="D624" s="9" t="n">
        <v>32</v>
      </c>
      <c r="E624" s="3" t="inlineStr">
        <is>
          <t>703</t>
        </is>
      </c>
      <c r="F624" s="3" t="inlineStr">
        <is>
          <t>623</t>
        </is>
      </c>
      <c r="G624" s="9" t="n">
        <v>412.05</v>
      </c>
      <c r="H624" s="10" t="n">
        <v>45669.43105324074</v>
      </c>
      <c r="I624" s="10" t="n">
        <v>45669.43105324074</v>
      </c>
      <c r="J624" s="10" t="n">
        <v>45669.43284722222</v>
      </c>
      <c r="K624" s="11" t="n">
        <v>0.001793981481481481</v>
      </c>
      <c r="L624" s="13" t="n"/>
    </row>
    <row r="625">
      <c r="A625" s="3" t="inlineStr">
        <is>
          <t>PushOffDrive</t>
        </is>
      </c>
      <c r="B625" s="3" t="inlineStr">
        <is>
          <t>Act_POD_1207202_102318_627</t>
        </is>
      </c>
      <c r="C625" s="3" t="inlineStr">
        <is>
          <t>1207202</t>
        </is>
      </c>
      <c r="D625" s="9" t="n">
        <v>32</v>
      </c>
      <c r="E625" s="3" t="inlineStr">
        <is>
          <t>703</t>
        </is>
      </c>
      <c r="F625" s="3" t="inlineStr">
        <is>
          <t>627</t>
        </is>
      </c>
      <c r="G625" s="9" t="n">
        <v>450.42</v>
      </c>
      <c r="H625" s="10" t="n">
        <v>45669.43284722222</v>
      </c>
      <c r="I625" s="10" t="n">
        <v>45669.43284722222</v>
      </c>
      <c r="J625" s="10" t="n">
        <v>45669.43479166667</v>
      </c>
      <c r="K625" s="11" t="n">
        <v>0.001944444444444444</v>
      </c>
      <c r="L625" s="13" t="n"/>
    </row>
    <row r="626">
      <c r="A626" s="3" t="inlineStr">
        <is>
          <t>PushOffDrive</t>
        </is>
      </c>
      <c r="B626" s="3" t="inlineStr">
        <is>
          <t>Act_POD_1207203_102606_623</t>
        </is>
      </c>
      <c r="C626" s="3" t="inlineStr">
        <is>
          <t>1207203</t>
        </is>
      </c>
      <c r="D626" s="9" t="n">
        <v>64</v>
      </c>
      <c r="E626" s="3" t="inlineStr">
        <is>
          <t>703</t>
        </is>
      </c>
      <c r="F626" s="3" t="inlineStr">
        <is>
          <t>623</t>
        </is>
      </c>
      <c r="G626" s="9" t="n">
        <v>412.05</v>
      </c>
      <c r="H626" s="10" t="n">
        <v>45669.43479166667</v>
      </c>
      <c r="I626" s="10" t="n">
        <v>45669.43479166667</v>
      </c>
      <c r="J626" s="10" t="n">
        <v>45669.43665509259</v>
      </c>
      <c r="K626" s="11" t="n">
        <v>0.001863425925925926</v>
      </c>
      <c r="L626" s="13" t="n"/>
    </row>
    <row r="627">
      <c r="A627" s="3" t="inlineStr">
        <is>
          <t>PushOffDrive</t>
        </is>
      </c>
      <c r="B627" s="3" t="inlineStr">
        <is>
          <t>Act_POD_1207301_111139_605</t>
        </is>
      </c>
      <c r="C627" s="3" t="inlineStr">
        <is>
          <t>1207301</t>
        </is>
      </c>
      <c r="D627" s="9" t="n">
        <v>80</v>
      </c>
      <c r="E627" s="3" t="inlineStr">
        <is>
          <t>703</t>
        </is>
      </c>
      <c r="F627" s="3" t="inlineStr">
        <is>
          <t>605</t>
        </is>
      </c>
      <c r="G627" s="9" t="n">
        <v>405.43</v>
      </c>
      <c r="H627" s="10" t="n">
        <v>45669.46642361111</v>
      </c>
      <c r="I627" s="10" t="n">
        <v>45669.46642361111</v>
      </c>
      <c r="J627" s="10" t="n">
        <v>45669.46829861111</v>
      </c>
      <c r="K627" s="11" t="n">
        <v>0.001875</v>
      </c>
      <c r="L627" s="13" t="n"/>
    </row>
    <row r="628">
      <c r="A628" s="3" t="inlineStr">
        <is>
          <t>PushOffDrive</t>
        </is>
      </c>
      <c r="B628" s="3" t="inlineStr">
        <is>
          <t>Act_POD_1207302_111421_627</t>
        </is>
      </c>
      <c r="C628" s="3" t="inlineStr">
        <is>
          <t>1207302</t>
        </is>
      </c>
      <c r="D628" s="9" t="n">
        <v>32</v>
      </c>
      <c r="E628" s="3" t="inlineStr">
        <is>
          <t>703</t>
        </is>
      </c>
      <c r="F628" s="3" t="inlineStr">
        <is>
          <t>627</t>
        </is>
      </c>
      <c r="G628" s="9" t="n">
        <v>450.42</v>
      </c>
      <c r="H628" s="10" t="n">
        <v>45669.46829861111</v>
      </c>
      <c r="I628" s="10" t="n">
        <v>45669.46829861111</v>
      </c>
      <c r="J628" s="10" t="n">
        <v>45669.47025462963</v>
      </c>
      <c r="K628" s="11" t="n">
        <v>0.001956018518518518</v>
      </c>
      <c r="L628" s="13" t="n"/>
    </row>
    <row r="629">
      <c r="A629" s="3" t="inlineStr">
        <is>
          <t>PushOffDrive</t>
        </is>
      </c>
      <c r="B629" s="3" t="inlineStr">
        <is>
          <t>Act_POD_1207303_111710_605</t>
        </is>
      </c>
      <c r="C629" s="3" t="inlineStr">
        <is>
          <t>1207303</t>
        </is>
      </c>
      <c r="D629" s="9" t="n">
        <v>64</v>
      </c>
      <c r="E629" s="3" t="inlineStr">
        <is>
          <t>703</t>
        </is>
      </c>
      <c r="F629" s="3" t="inlineStr">
        <is>
          <t>605</t>
        </is>
      </c>
      <c r="G629" s="9" t="n">
        <v>405.43</v>
      </c>
      <c r="H629" s="10" t="n">
        <v>45669.47025462963</v>
      </c>
      <c r="I629" s="10" t="n">
        <v>45669.47025462963</v>
      </c>
      <c r="J629" s="10" t="n">
        <v>45669.47208333333</v>
      </c>
      <c r="K629" s="11" t="n">
        <v>0.001828703703703704</v>
      </c>
      <c r="L629" s="13" t="n"/>
    </row>
    <row r="630">
      <c r="A630" s="3" t="inlineStr">
        <is>
          <t>PushOffDrive</t>
        </is>
      </c>
      <c r="B630" s="3" t="inlineStr">
        <is>
          <t>Act_POD_1207401_120129_613</t>
        </is>
      </c>
      <c r="C630" s="3" t="inlineStr">
        <is>
          <t>1207401</t>
        </is>
      </c>
      <c r="D630" s="9" t="n">
        <v>64</v>
      </c>
      <c r="E630" s="3" t="inlineStr">
        <is>
          <t>703</t>
        </is>
      </c>
      <c r="F630" s="3" t="inlineStr">
        <is>
          <t>613</t>
        </is>
      </c>
      <c r="G630" s="9" t="n">
        <v>297.43</v>
      </c>
      <c r="H630" s="10" t="n">
        <v>45669.50103009259</v>
      </c>
      <c r="I630" s="10" t="n">
        <v>45669.50103009259</v>
      </c>
      <c r="J630" s="10" t="n">
        <v>45669.50240740741</v>
      </c>
      <c r="K630" s="11" t="n">
        <v>0.001377314814814815</v>
      </c>
      <c r="L630" s="13" t="n"/>
    </row>
    <row r="631">
      <c r="A631" s="3" t="inlineStr">
        <is>
          <t>PushOffDrive</t>
        </is>
      </c>
      <c r="B631" s="3" t="inlineStr">
        <is>
          <t>Act_POD_1207402_120328_623</t>
        </is>
      </c>
      <c r="C631" s="3" t="inlineStr">
        <is>
          <t>1207402</t>
        </is>
      </c>
      <c r="D631" s="9" t="n">
        <v>48</v>
      </c>
      <c r="E631" s="3" t="inlineStr">
        <is>
          <t>703</t>
        </is>
      </c>
      <c r="F631" s="3" t="inlineStr">
        <is>
          <t>623</t>
        </is>
      </c>
      <c r="G631" s="9" t="n">
        <v>412.05</v>
      </c>
      <c r="H631" s="10" t="n">
        <v>45669.50240740741</v>
      </c>
      <c r="I631" s="10" t="n">
        <v>45669.50240740741</v>
      </c>
      <c r="J631" s="10" t="n">
        <v>45669.50423611111</v>
      </c>
      <c r="K631" s="11" t="n">
        <v>0.001828703703703704</v>
      </c>
      <c r="L631" s="13" t="n"/>
    </row>
    <row r="632">
      <c r="A632" s="3" t="inlineStr">
        <is>
          <t>PushOffDrive</t>
        </is>
      </c>
      <c r="B632" s="3" t="inlineStr">
        <is>
          <t>Act_POD_1207403_120606_619</t>
        </is>
      </c>
      <c r="C632" s="3" t="inlineStr">
        <is>
          <t>1207403</t>
        </is>
      </c>
      <c r="D632" s="9" t="n">
        <v>64</v>
      </c>
      <c r="E632" s="3" t="inlineStr">
        <is>
          <t>703</t>
        </is>
      </c>
      <c r="F632" s="3" t="inlineStr">
        <is>
          <t>619</t>
        </is>
      </c>
      <c r="G632" s="9" t="n">
        <v>459.96</v>
      </c>
      <c r="H632" s="10" t="n">
        <v>45669.50423611111</v>
      </c>
      <c r="I632" s="10" t="n">
        <v>45669.50423611111</v>
      </c>
      <c r="J632" s="10" t="n">
        <v>45669.50630787037</v>
      </c>
      <c r="K632" s="11" t="n">
        <v>0.002071759259259259</v>
      </c>
      <c r="L632" s="13" t="n"/>
    </row>
    <row r="633">
      <c r="A633" s="3" t="inlineStr">
        <is>
          <t>PushOffDrive</t>
        </is>
      </c>
      <c r="B633" s="3" t="inlineStr">
        <is>
          <t>Act_POD_1207501_161213_619</t>
        </is>
      </c>
      <c r="C633" s="3" t="inlineStr">
        <is>
          <t>1207501</t>
        </is>
      </c>
      <c r="D633" s="9" t="n">
        <v>48</v>
      </c>
      <c r="E633" s="3" t="inlineStr">
        <is>
          <t>703</t>
        </is>
      </c>
      <c r="F633" s="3" t="inlineStr">
        <is>
          <t>619</t>
        </is>
      </c>
      <c r="G633" s="9" t="n">
        <v>459.96</v>
      </c>
      <c r="H633" s="10" t="n">
        <v>45669.67515046296</v>
      </c>
      <c r="I633" s="10" t="n">
        <v>45669.67515046296</v>
      </c>
      <c r="J633" s="10" t="n">
        <v>45669.67717592593</v>
      </c>
      <c r="K633" s="11" t="n">
        <v>0.002025462962962963</v>
      </c>
      <c r="L633" s="13" t="n"/>
    </row>
    <row r="634">
      <c r="A634" s="3" t="inlineStr">
        <is>
          <t>PushOffDrive</t>
        </is>
      </c>
      <c r="B634" s="3" t="inlineStr">
        <is>
          <t>Act_POD_1207502_161508_613</t>
        </is>
      </c>
      <c r="C634" s="3" t="inlineStr">
        <is>
          <t>1207502</t>
        </is>
      </c>
      <c r="D634" s="9" t="n">
        <v>32</v>
      </c>
      <c r="E634" s="3" t="inlineStr">
        <is>
          <t>703</t>
        </is>
      </c>
      <c r="F634" s="3" t="inlineStr">
        <is>
          <t>613</t>
        </is>
      </c>
      <c r="G634" s="9" t="n">
        <v>297.43</v>
      </c>
      <c r="H634" s="10" t="n">
        <v>45669.67717592593</v>
      </c>
      <c r="I634" s="10" t="n">
        <v>45669.67717592593</v>
      </c>
      <c r="J634" s="10" t="n">
        <v>45669.67849537037</v>
      </c>
      <c r="K634" s="11" t="n">
        <v>0.001319444444444444</v>
      </c>
      <c r="L634" s="13" t="n"/>
    </row>
    <row r="635">
      <c r="A635" s="3" t="inlineStr">
        <is>
          <t>PushOffDrive</t>
        </is>
      </c>
      <c r="B635" s="3" t="inlineStr">
        <is>
          <t>Act_POD_1207503_161702_605</t>
        </is>
      </c>
      <c r="C635" s="3" t="inlineStr">
        <is>
          <t>1207503</t>
        </is>
      </c>
      <c r="D635" s="9" t="n">
        <v>64</v>
      </c>
      <c r="E635" s="3" t="inlineStr">
        <is>
          <t>703</t>
        </is>
      </c>
      <c r="F635" s="3" t="inlineStr">
        <is>
          <t>605</t>
        </is>
      </c>
      <c r="G635" s="9" t="n">
        <v>405.43</v>
      </c>
      <c r="H635" s="10" t="n">
        <v>45669.67849537037</v>
      </c>
      <c r="I635" s="10" t="n">
        <v>45669.67849537037</v>
      </c>
      <c r="J635" s="10" t="n">
        <v>45669.68032407408</v>
      </c>
      <c r="K635" s="11" t="n">
        <v>0.001828703703703704</v>
      </c>
      <c r="L635" s="13" t="n"/>
    </row>
    <row r="636">
      <c r="A636" s="3" t="inlineStr">
        <is>
          <t>PushOffDrive</t>
        </is>
      </c>
      <c r="B636" s="3" t="inlineStr">
        <is>
          <t>Act_POD_1207601_191134_613</t>
        </is>
      </c>
      <c r="C636" s="3" t="inlineStr">
        <is>
          <t>1207601</t>
        </is>
      </c>
      <c r="D636" s="9" t="n">
        <v>48</v>
      </c>
      <c r="E636" s="3" t="inlineStr">
        <is>
          <t>703</t>
        </is>
      </c>
      <c r="F636" s="3" t="inlineStr">
        <is>
          <t>613</t>
        </is>
      </c>
      <c r="G636" s="9" t="n">
        <v>297.43</v>
      </c>
      <c r="H636" s="10" t="n">
        <v>45669.79969907407</v>
      </c>
      <c r="I636" s="10" t="n">
        <v>45669.79969907407</v>
      </c>
      <c r="J636" s="10" t="n">
        <v>45669.80105324074</v>
      </c>
      <c r="K636" s="11" t="n">
        <v>0.001354166666666667</v>
      </c>
      <c r="L636" s="13" t="n"/>
    </row>
    <row r="637">
      <c r="A637" s="3" t="inlineStr">
        <is>
          <t>PushOffDrive</t>
        </is>
      </c>
      <c r="B637" s="3" t="inlineStr">
        <is>
          <t>Act_POD_1207602+1207603_191331_625</t>
        </is>
      </c>
      <c r="C637" s="3" t="inlineStr">
        <is>
          <t>1207602+1207603</t>
        </is>
      </c>
      <c r="D637" s="9" t="n">
        <v>112</v>
      </c>
      <c r="E637" s="3" t="inlineStr">
        <is>
          <t>703</t>
        </is>
      </c>
      <c r="F637" s="3" t="inlineStr">
        <is>
          <t>625</t>
        </is>
      </c>
      <c r="G637" s="9" t="n">
        <v>477.75</v>
      </c>
      <c r="H637" s="10" t="n">
        <v>45669.80105324074</v>
      </c>
      <c r="I637" s="10" t="n">
        <v>45669.80105324074</v>
      </c>
      <c r="J637" s="10" t="n">
        <v>45669.80329861111</v>
      </c>
      <c r="K637" s="11" t="n">
        <v>0.00224537037037037</v>
      </c>
      <c r="L637" s="13" t="n"/>
    </row>
    <row r="638">
      <c r="A638" s="3" t="inlineStr">
        <is>
          <t>PushOffDrive</t>
        </is>
      </c>
      <c r="B638" s="3" t="inlineStr">
        <is>
          <t>Act_POD_1207701+1207702+1207703+1207704+1207705_221158_613</t>
        </is>
      </c>
      <c r="C638" s="3" t="inlineStr">
        <is>
          <t>1207701+1207702+1207703+1207704+1207705</t>
        </is>
      </c>
      <c r="D638" s="9" t="n">
        <v>224</v>
      </c>
      <c r="E638" s="3" t="inlineStr">
        <is>
          <t>703</t>
        </is>
      </c>
      <c r="F638" s="3" t="inlineStr">
        <is>
          <t>613</t>
        </is>
      </c>
      <c r="G638" s="9" t="n">
        <v>297.43</v>
      </c>
      <c r="H638" s="10" t="n">
        <v>45669.92497685185</v>
      </c>
      <c r="I638" s="10" t="n">
        <v>45669.92497685185</v>
      </c>
      <c r="J638" s="10" t="n">
        <v>45669.92673611111</v>
      </c>
      <c r="K638" s="11" t="n">
        <v>0.001759259259259259</v>
      </c>
      <c r="L638" s="13" t="n"/>
    </row>
    <row r="639">
      <c r="A639" s="3" t="inlineStr">
        <is>
          <t>Securing</t>
        </is>
      </c>
      <c r="B639" s="3" t="inlineStr">
        <is>
          <t>Act_SEC_1200201_051408_615</t>
        </is>
      </c>
      <c r="C639" s="3" t="inlineStr">
        <is>
          <t>1200201</t>
        </is>
      </c>
      <c r="D639" s="9" t="n">
        <v>64</v>
      </c>
      <c r="E639" s="3" t="n"/>
      <c r="F639" s="3" t="n"/>
      <c r="G639" s="9" t="n"/>
      <c r="H639" s="10" t="n">
        <v>45663.21814814815</v>
      </c>
      <c r="I639" s="10" t="n">
        <v>45663.21893518518</v>
      </c>
      <c r="J639" s="10" t="n">
        <v>45663.22486111111</v>
      </c>
      <c r="K639" s="11" t="n">
        <v>0.005925925925925926</v>
      </c>
      <c r="L639" s="13" t="n"/>
    </row>
    <row r="640">
      <c r="A640" s="3" t="inlineStr">
        <is>
          <t>Securing</t>
        </is>
      </c>
      <c r="B640" s="3" t="inlineStr">
        <is>
          <t>Act_SEC_1200202+1200203_051611_613</t>
        </is>
      </c>
      <c r="C640" s="3" t="inlineStr">
        <is>
          <t>1200202+1200203</t>
        </is>
      </c>
      <c r="D640" s="9" t="n">
        <v>96</v>
      </c>
      <c r="E640" s="3" t="n"/>
      <c r="F640" s="3" t="n"/>
      <c r="G640" s="9" t="n"/>
      <c r="H640" s="10" t="n">
        <v>45663.21957175926</v>
      </c>
      <c r="I640" s="10" t="n">
        <v>45663.22034722222</v>
      </c>
      <c r="J640" s="10" t="n">
        <v>45663.22923611111</v>
      </c>
      <c r="K640" s="11" t="n">
        <v>0.008888888888888889</v>
      </c>
      <c r="L640" s="13" t="n"/>
    </row>
    <row r="641">
      <c r="A641" s="3" t="inlineStr">
        <is>
          <t>Securing</t>
        </is>
      </c>
      <c r="B641" s="3" t="inlineStr">
        <is>
          <t>Act_SEC_1200101+1200102_052216_627</t>
        </is>
      </c>
      <c r="C641" s="3" t="inlineStr">
        <is>
          <t>1200101+1200102</t>
        </is>
      </c>
      <c r="D641" s="9" t="n">
        <v>112</v>
      </c>
      <c r="E641" s="3" t="n"/>
      <c r="F641" s="3" t="n"/>
      <c r="G641" s="9" t="n"/>
      <c r="H641" s="10" t="n">
        <v>45663.2237962963</v>
      </c>
      <c r="I641" s="10" t="n">
        <v>45663.22466435185</v>
      </c>
      <c r="J641" s="10" t="n">
        <v>45663.23607638889</v>
      </c>
      <c r="K641" s="11" t="n">
        <v>0.01141203703703704</v>
      </c>
      <c r="L641" s="13" t="n"/>
    </row>
    <row r="642">
      <c r="A642" s="3" t="inlineStr">
        <is>
          <t>Securing</t>
        </is>
      </c>
      <c r="B642" s="3" t="inlineStr">
        <is>
          <t>Act_SEC_1200103_052524_625</t>
        </is>
      </c>
      <c r="C642" s="3" t="inlineStr">
        <is>
          <t>1200103</t>
        </is>
      </c>
      <c r="D642" s="9" t="n">
        <v>80</v>
      </c>
      <c r="E642" s="3" t="n"/>
      <c r="F642" s="3" t="n"/>
      <c r="G642" s="9" t="n"/>
      <c r="H642" s="10" t="n">
        <v>45663.22597222222</v>
      </c>
      <c r="I642" s="10" t="n">
        <v>45663.22675925926</v>
      </c>
      <c r="J642" s="10" t="n">
        <v>45663.23416666667</v>
      </c>
      <c r="K642" s="11" t="n">
        <v>0.007407407407407408</v>
      </c>
      <c r="L642" s="13" t="n"/>
    </row>
    <row r="643">
      <c r="A643" s="3" t="inlineStr">
        <is>
          <t>Securing</t>
        </is>
      </c>
      <c r="B643" s="3" t="inlineStr">
        <is>
          <t>Act_SEC_1200104_052756_605</t>
        </is>
      </c>
      <c r="C643" s="3" t="inlineStr">
        <is>
          <t>1200104</t>
        </is>
      </c>
      <c r="D643" s="9" t="n">
        <v>32</v>
      </c>
      <c r="E643" s="3" t="n"/>
      <c r="F643" s="3" t="n"/>
      <c r="G643" s="9" t="n"/>
      <c r="H643" s="10" t="n">
        <v>45663.22773148148</v>
      </c>
      <c r="I643" s="10" t="n">
        <v>45663.22857638889</v>
      </c>
      <c r="J643" s="10" t="n">
        <v>45663.23182870371</v>
      </c>
      <c r="K643" s="11" t="n">
        <v>0.003252314814814815</v>
      </c>
      <c r="L643" s="13" t="n"/>
    </row>
    <row r="644">
      <c r="A644" s="3" t="inlineStr">
        <is>
          <t>Securing</t>
        </is>
      </c>
      <c r="B644" s="3" t="inlineStr">
        <is>
          <t>Act_SEC_1200301+1200302+1200303_074353_615</t>
        </is>
      </c>
      <c r="C644" s="3" t="inlineStr">
        <is>
          <t>1200301+1200302+1200303</t>
        </is>
      </c>
      <c r="D644" s="9" t="n">
        <v>160</v>
      </c>
      <c r="E644" s="3" t="n"/>
      <c r="F644" s="3" t="n"/>
      <c r="G644" s="9" t="n"/>
      <c r="H644" s="10" t="n">
        <v>45663.3221412037</v>
      </c>
      <c r="I644" s="10" t="n">
        <v>45663.32297453703</v>
      </c>
      <c r="J644" s="10" t="n">
        <v>45663.33927083333</v>
      </c>
      <c r="K644" s="11" t="n">
        <v>0.01629629629629629</v>
      </c>
      <c r="L644" s="13" t="n"/>
    </row>
    <row r="645">
      <c r="A645" s="3" t="inlineStr">
        <is>
          <t>Securing</t>
        </is>
      </c>
      <c r="B645" s="3" t="inlineStr">
        <is>
          <t>Act_SEC_1200401+1200402_112729_615</t>
        </is>
      </c>
      <c r="C645" s="3" t="inlineStr">
        <is>
          <t>1200401+1200402</t>
        </is>
      </c>
      <c r="D645" s="9" t="n">
        <v>96</v>
      </c>
      <c r="E645" s="3" t="n"/>
      <c r="F645" s="3" t="n"/>
      <c r="G645" s="9" t="n"/>
      <c r="H645" s="10" t="n">
        <v>45663.47741898148</v>
      </c>
      <c r="I645" s="10" t="n">
        <v>45663.47820601852</v>
      </c>
      <c r="J645" s="10" t="n">
        <v>45663.48709490741</v>
      </c>
      <c r="K645" s="11" t="n">
        <v>0.008888888888888889</v>
      </c>
      <c r="L645" s="13" t="n"/>
    </row>
    <row r="646">
      <c r="A646" s="3" t="inlineStr">
        <is>
          <t>Securing</t>
        </is>
      </c>
      <c r="B646" s="3" t="inlineStr">
        <is>
          <t>Act_SEC_1200701+1200702_062723_615</t>
        </is>
      </c>
      <c r="C646" s="3" t="inlineStr">
        <is>
          <t>1200701+1200702</t>
        </is>
      </c>
      <c r="D646" s="9" t="n">
        <v>128</v>
      </c>
      <c r="E646" s="3" t="n"/>
      <c r="F646" s="3" t="n"/>
      <c r="G646" s="9" t="n"/>
      <c r="H646" s="10" t="n">
        <v>45664.2690162037</v>
      </c>
      <c r="I646" s="10" t="n">
        <v>45664.26988425926</v>
      </c>
      <c r="J646" s="10" t="n">
        <v>45664.28292824074</v>
      </c>
      <c r="K646" s="11" t="n">
        <v>0.01304398148148148</v>
      </c>
      <c r="L646" s="13" t="n"/>
    </row>
    <row r="647">
      <c r="A647" s="3" t="inlineStr">
        <is>
          <t>Securing</t>
        </is>
      </c>
      <c r="B647" s="3" t="inlineStr">
        <is>
          <t>Act_SEC_1200801_063753_605</t>
        </is>
      </c>
      <c r="C647" s="3" t="inlineStr">
        <is>
          <t>1200801</t>
        </is>
      </c>
      <c r="D647" s="9" t="n">
        <v>80</v>
      </c>
      <c r="E647" s="3" t="n"/>
      <c r="F647" s="3" t="n"/>
      <c r="G647" s="9" t="n"/>
      <c r="H647" s="10" t="n">
        <v>45664.27630787037</v>
      </c>
      <c r="I647" s="10" t="n">
        <v>45664.27707175926</v>
      </c>
      <c r="J647" s="10" t="n">
        <v>45664.28447916666</v>
      </c>
      <c r="K647" s="11" t="n">
        <v>0.007407407407407408</v>
      </c>
      <c r="L647" s="13" t="n"/>
    </row>
    <row r="648">
      <c r="A648" s="3" t="inlineStr">
        <is>
          <t>Securing</t>
        </is>
      </c>
      <c r="B648" s="3" t="inlineStr">
        <is>
          <t>Act_SEC_1200802_064051_627</t>
        </is>
      </c>
      <c r="C648" s="3" t="inlineStr">
        <is>
          <t>1200802</t>
        </is>
      </c>
      <c r="D648" s="9" t="n">
        <v>80</v>
      </c>
      <c r="E648" s="3" t="n"/>
      <c r="F648" s="3" t="n"/>
      <c r="G648" s="9" t="n"/>
      <c r="H648" s="10" t="n">
        <v>45664.27836805556</v>
      </c>
      <c r="I648" s="10" t="n">
        <v>45664.27923611111</v>
      </c>
      <c r="J648" s="10" t="n">
        <v>45664.28738425926</v>
      </c>
      <c r="K648" s="11" t="n">
        <v>0.008148148148148147</v>
      </c>
      <c r="L648" s="13" t="n"/>
    </row>
    <row r="649">
      <c r="A649" s="3" t="inlineStr">
        <is>
          <t>Securing</t>
        </is>
      </c>
      <c r="B649" s="3" t="inlineStr">
        <is>
          <t>Act_SEC_1200902_065334_623</t>
        </is>
      </c>
      <c r="C649" s="3" t="inlineStr">
        <is>
          <t>1200902</t>
        </is>
      </c>
      <c r="D649" s="9" t="n">
        <v>32</v>
      </c>
      <c r="E649" s="3" t="n"/>
      <c r="F649" s="3" t="n"/>
      <c r="G649" s="9" t="n"/>
      <c r="H649" s="10" t="n">
        <v>45664.28719907408</v>
      </c>
      <c r="I649" s="10" t="n">
        <v>45664.29145833333</v>
      </c>
      <c r="J649" s="10" t="n">
        <v>45664.2944212963</v>
      </c>
      <c r="K649" s="11" t="n">
        <v>0.002962962962962963</v>
      </c>
      <c r="L649" s="13" t="n"/>
    </row>
    <row r="650">
      <c r="A650" s="3" t="inlineStr">
        <is>
          <t>Securing</t>
        </is>
      </c>
      <c r="B650" s="3" t="inlineStr">
        <is>
          <t>Act_SEC_1200903_065610_606</t>
        </is>
      </c>
      <c r="C650" s="3" t="inlineStr">
        <is>
          <t>1200903</t>
        </is>
      </c>
      <c r="D650" s="9" t="n">
        <v>64</v>
      </c>
      <c r="E650" s="3" t="n"/>
      <c r="F650" s="3" t="n"/>
      <c r="G650" s="9" t="n"/>
      <c r="H650" s="10" t="n">
        <v>45664.28900462963</v>
      </c>
      <c r="I650" s="10" t="n">
        <v>45664.29505787037</v>
      </c>
      <c r="J650" s="10" t="n">
        <v>45664.30157407407</v>
      </c>
      <c r="K650" s="11" t="n">
        <v>0.006516203703703704</v>
      </c>
      <c r="L650" s="13" t="n"/>
    </row>
    <row r="651">
      <c r="A651" s="3" t="inlineStr">
        <is>
          <t>Securing</t>
        </is>
      </c>
      <c r="B651" s="3" t="inlineStr">
        <is>
          <t>Act_SEC_1201001+1201002+1201003_070314_619</t>
        </is>
      </c>
      <c r="C651" s="3" t="inlineStr">
        <is>
          <t>1201001+1201002+1201003</t>
        </is>
      </c>
      <c r="D651" s="9" t="n">
        <v>96</v>
      </c>
      <c r="E651" s="3" t="n"/>
      <c r="F651" s="3" t="n"/>
      <c r="G651" s="9" t="n"/>
      <c r="H651" s="10" t="n">
        <v>45664.29391203704</v>
      </c>
      <c r="I651" s="10" t="n">
        <v>45664.29506944444</v>
      </c>
      <c r="J651" s="10" t="n">
        <v>45664.30484953704</v>
      </c>
      <c r="K651" s="11" t="n">
        <v>0.009780092592592592</v>
      </c>
      <c r="L651" s="13" t="n"/>
    </row>
    <row r="652">
      <c r="A652" s="3" t="inlineStr">
        <is>
          <t>Securing</t>
        </is>
      </c>
      <c r="B652" s="3" t="inlineStr">
        <is>
          <t>Act_SEC_1201201+1201202+1201203_131253_615</t>
        </is>
      </c>
      <c r="C652" s="3" t="inlineStr">
        <is>
          <t>1201201+1201202+1201203</t>
        </is>
      </c>
      <c r="D652" s="9" t="n">
        <v>128</v>
      </c>
      <c r="E652" s="3" t="n"/>
      <c r="F652" s="3" t="n"/>
      <c r="G652" s="9" t="n"/>
      <c r="H652" s="10" t="n">
        <v>45664.55061342593</v>
      </c>
      <c r="I652" s="10" t="n">
        <v>45664.55148148148</v>
      </c>
      <c r="J652" s="10" t="n">
        <v>45664.56452546296</v>
      </c>
      <c r="K652" s="11" t="n">
        <v>0.01304398148148148</v>
      </c>
      <c r="L652" s="13" t="n"/>
    </row>
    <row r="653">
      <c r="A653" s="3" t="inlineStr">
        <is>
          <t>Securing</t>
        </is>
      </c>
      <c r="B653" s="3" t="inlineStr">
        <is>
          <t>Act_SEC_1201401_201137_615</t>
        </is>
      </c>
      <c r="C653" s="3" t="inlineStr">
        <is>
          <t>1201401</t>
        </is>
      </c>
      <c r="D653" s="9" t="n">
        <v>32</v>
      </c>
      <c r="E653" s="3" t="n"/>
      <c r="F653" s="3" t="n"/>
      <c r="G653" s="9" t="n"/>
      <c r="H653" s="10" t="n">
        <v>45664.84140046296</v>
      </c>
      <c r="I653" s="10" t="n">
        <v>45664.84226851852</v>
      </c>
      <c r="J653" s="10" t="n">
        <v>45664.84553240741</v>
      </c>
      <c r="K653" s="11" t="n">
        <v>0.003263888888888889</v>
      </c>
      <c r="L653" s="13" t="n"/>
    </row>
    <row r="654">
      <c r="A654" s="3" t="inlineStr">
        <is>
          <t>Securing</t>
        </is>
      </c>
      <c r="B654" s="3" t="inlineStr">
        <is>
          <t>Act_SEC_1201402_201401_613</t>
        </is>
      </c>
      <c r="C654" s="3" t="inlineStr">
        <is>
          <t>1201402</t>
        </is>
      </c>
      <c r="D654" s="9" t="n">
        <v>32</v>
      </c>
      <c r="E654" s="3" t="n"/>
      <c r="F654" s="3" t="n"/>
      <c r="G654" s="9" t="n"/>
      <c r="H654" s="10" t="n">
        <v>45664.84306712963</v>
      </c>
      <c r="I654" s="10" t="n">
        <v>45664.84393518518</v>
      </c>
      <c r="J654" s="10" t="n">
        <v>45664.84719907407</v>
      </c>
      <c r="K654" s="11" t="n">
        <v>0.003263888888888889</v>
      </c>
      <c r="L654" s="13" t="n"/>
    </row>
    <row r="655">
      <c r="A655" s="3" t="inlineStr">
        <is>
          <t>Securing</t>
        </is>
      </c>
      <c r="B655" s="3" t="inlineStr">
        <is>
          <t>Act_SEC_1201701_054402_627</t>
        </is>
      </c>
      <c r="C655" s="3" t="inlineStr">
        <is>
          <t>1201701</t>
        </is>
      </c>
      <c r="D655" s="9" t="n">
        <v>32</v>
      </c>
      <c r="E655" s="3" t="n"/>
      <c r="F655" s="3" t="n"/>
      <c r="G655" s="9" t="n"/>
      <c r="H655" s="10" t="n">
        <v>45665.23891203704</v>
      </c>
      <c r="I655" s="10" t="n">
        <v>45665.23978009259</v>
      </c>
      <c r="J655" s="10" t="n">
        <v>45665.24303240741</v>
      </c>
      <c r="K655" s="11" t="n">
        <v>0.003252314814814815</v>
      </c>
      <c r="L655" s="13" t="n"/>
    </row>
    <row r="656">
      <c r="A656" s="3" t="inlineStr">
        <is>
          <t>Securing</t>
        </is>
      </c>
      <c r="B656" s="3" t="inlineStr">
        <is>
          <t>Act_SEC_1201702_054731_625</t>
        </is>
      </c>
      <c r="C656" s="3" t="inlineStr">
        <is>
          <t>1201702</t>
        </is>
      </c>
      <c r="D656" s="9" t="n">
        <v>32</v>
      </c>
      <c r="E656" s="3" t="n"/>
      <c r="F656" s="3" t="n"/>
      <c r="G656" s="9" t="n"/>
      <c r="H656" s="10" t="n">
        <v>45665.24133101852</v>
      </c>
      <c r="I656" s="10" t="n">
        <v>45665.24209490741</v>
      </c>
      <c r="J656" s="10" t="n">
        <v>45665.24505787037</v>
      </c>
      <c r="K656" s="11" t="n">
        <v>0.002962962962962963</v>
      </c>
      <c r="L656" s="13" t="n"/>
    </row>
    <row r="657">
      <c r="A657" s="3" t="inlineStr">
        <is>
          <t>Securing</t>
        </is>
      </c>
      <c r="B657" s="3" t="inlineStr">
        <is>
          <t>Act_SEC_1201601+1201602_055128_605</t>
        </is>
      </c>
      <c r="C657" s="3" t="inlineStr">
        <is>
          <t>1201601+1201602</t>
        </is>
      </c>
      <c r="D657" s="9" t="n">
        <v>96</v>
      </c>
      <c r="E657" s="3" t="n"/>
      <c r="F657" s="3" t="n"/>
      <c r="G657" s="9" t="n"/>
      <c r="H657" s="10" t="n">
        <v>45665.24407407407</v>
      </c>
      <c r="I657" s="10" t="n">
        <v>45665.24494212963</v>
      </c>
      <c r="J657" s="10" t="n">
        <v>45665.25472222222</v>
      </c>
      <c r="K657" s="11" t="n">
        <v>0.009780092592592592</v>
      </c>
      <c r="L657" s="13" t="n"/>
    </row>
    <row r="658">
      <c r="A658" s="3" t="inlineStr">
        <is>
          <t>Securing</t>
        </is>
      </c>
      <c r="B658" s="3" t="inlineStr">
        <is>
          <t>Act_SEC_1201801_091323_615</t>
        </is>
      </c>
      <c r="C658" s="3" t="inlineStr">
        <is>
          <t>1201801</t>
        </is>
      </c>
      <c r="D658" s="9" t="n">
        <v>32</v>
      </c>
      <c r="E658" s="3" t="n"/>
      <c r="F658" s="3" t="n"/>
      <c r="G658" s="9" t="n"/>
      <c r="H658" s="10" t="n">
        <v>45665.38429398148</v>
      </c>
      <c r="I658" s="10" t="n">
        <v>45665.38516203704</v>
      </c>
      <c r="J658" s="10" t="n">
        <v>45665.38842592593</v>
      </c>
      <c r="K658" s="11" t="n">
        <v>0.003263888888888889</v>
      </c>
      <c r="L658" s="13" t="n"/>
    </row>
    <row r="659">
      <c r="A659" s="3" t="inlineStr">
        <is>
          <t>Securing</t>
        </is>
      </c>
      <c r="B659" s="3" t="inlineStr">
        <is>
          <t>Act_SEC_1202001_094432_613</t>
        </is>
      </c>
      <c r="C659" s="3" t="inlineStr">
        <is>
          <t>1202001</t>
        </is>
      </c>
      <c r="D659" s="9" t="n">
        <v>32</v>
      </c>
      <c r="E659" s="3" t="n"/>
      <c r="F659" s="3" t="n"/>
      <c r="G659" s="9" t="n"/>
      <c r="H659" s="10" t="n">
        <v>45665.40592592592</v>
      </c>
      <c r="I659" s="10" t="n">
        <v>45665.40670138889</v>
      </c>
      <c r="J659" s="10" t="n">
        <v>45665.40966435185</v>
      </c>
      <c r="K659" s="11" t="n">
        <v>0.002962962962962963</v>
      </c>
      <c r="L659" s="13" t="n"/>
    </row>
    <row r="660">
      <c r="A660" s="3" t="inlineStr">
        <is>
          <t>Securing</t>
        </is>
      </c>
      <c r="B660" s="3" t="inlineStr">
        <is>
          <t>Act_SEC_1202002+1202003+1202004_094733_623</t>
        </is>
      </c>
      <c r="C660" s="3" t="inlineStr">
        <is>
          <t>1202002+1202003+1202004</t>
        </is>
      </c>
      <c r="D660" s="9" t="n">
        <v>160</v>
      </c>
      <c r="E660" s="3" t="n"/>
      <c r="F660" s="3" t="n"/>
      <c r="G660" s="9" t="n"/>
      <c r="H660" s="10" t="n">
        <v>45665.40802083333</v>
      </c>
      <c r="I660" s="10" t="n">
        <v>45665.40885416666</v>
      </c>
      <c r="J660" s="10" t="n">
        <v>45665.42515046296</v>
      </c>
      <c r="K660" s="11" t="n">
        <v>0.01629629629629629</v>
      </c>
      <c r="L660" s="13" t="n"/>
    </row>
    <row r="661">
      <c r="A661" s="3" t="inlineStr">
        <is>
          <t>Securing</t>
        </is>
      </c>
      <c r="B661" s="3" t="inlineStr">
        <is>
          <t>Act_SEC_1202101+1202102+1202103_095354_619</t>
        </is>
      </c>
      <c r="C661" s="3" t="inlineStr">
        <is>
          <t>1202101+1202102+1202103</t>
        </is>
      </c>
      <c r="D661" s="9" t="n">
        <v>160</v>
      </c>
      <c r="E661" s="3" t="n"/>
      <c r="F661" s="3" t="n"/>
      <c r="G661" s="9" t="n"/>
      <c r="H661" s="10" t="n">
        <v>45665.41243055555</v>
      </c>
      <c r="I661" s="10" t="n">
        <v>45665.41320601852</v>
      </c>
      <c r="J661" s="10" t="n">
        <v>45665.42802083334</v>
      </c>
      <c r="K661" s="11" t="n">
        <v>0.01481481481481482</v>
      </c>
      <c r="L661" s="13" t="n"/>
    </row>
    <row r="662">
      <c r="A662" s="3" t="inlineStr">
        <is>
          <t>Securing</t>
        </is>
      </c>
      <c r="B662" s="3" t="inlineStr">
        <is>
          <t>Act_SEC_1202204_102301_606</t>
        </is>
      </c>
      <c r="C662" s="3" t="inlineStr">
        <is>
          <t>1202204</t>
        </is>
      </c>
      <c r="D662" s="9" t="n">
        <v>80</v>
      </c>
      <c r="E662" s="3" t="n"/>
      <c r="F662" s="3" t="n"/>
      <c r="G662" s="9" t="n"/>
      <c r="H662" s="10" t="n">
        <v>45665.43265046296</v>
      </c>
      <c r="I662" s="10" t="n">
        <v>45665.44265046297</v>
      </c>
      <c r="J662" s="10" t="n">
        <v>45665.45079861111</v>
      </c>
      <c r="K662" s="11" t="n">
        <v>0.008148148148148147</v>
      </c>
      <c r="L662" s="13" t="n"/>
    </row>
    <row r="663">
      <c r="A663" s="3" t="inlineStr">
        <is>
          <t>Securing</t>
        </is>
      </c>
      <c r="B663" s="3" t="inlineStr">
        <is>
          <t>Act_SEC_1202401+1202402_181235_615</t>
        </is>
      </c>
      <c r="C663" s="3" t="inlineStr">
        <is>
          <t>1202401+1202402</t>
        </is>
      </c>
      <c r="D663" s="9" t="n">
        <v>112</v>
      </c>
      <c r="E663" s="3" t="n"/>
      <c r="F663" s="3" t="n"/>
      <c r="G663" s="9" t="n"/>
      <c r="H663" s="10" t="n">
        <v>45665.75873842592</v>
      </c>
      <c r="I663" s="10" t="n">
        <v>45665.75958333333</v>
      </c>
      <c r="J663" s="10" t="n">
        <v>45665.7709837963</v>
      </c>
      <c r="K663" s="11" t="n">
        <v>0.01140046296296296</v>
      </c>
      <c r="L663" s="13" t="n"/>
    </row>
    <row r="664">
      <c r="A664" s="3" t="inlineStr">
        <is>
          <t>Securing</t>
        </is>
      </c>
      <c r="B664" s="3" t="inlineStr">
        <is>
          <t>Act_SEC_1202501+1202502+1202503+1202504+1202505_214543_615</t>
        </is>
      </c>
      <c r="C664" s="3" t="inlineStr">
        <is>
          <t>1202501+1202502+1202503+1202504+1202505</t>
        </is>
      </c>
      <c r="D664" s="9" t="n">
        <v>256</v>
      </c>
      <c r="E664" s="3" t="n"/>
      <c r="F664" s="3" t="n"/>
      <c r="G664" s="9" t="n"/>
      <c r="H664" s="10" t="n">
        <v>45665.90674768519</v>
      </c>
      <c r="I664" s="10" t="n">
        <v>45665.90759259259</v>
      </c>
      <c r="J664" s="10" t="n">
        <v>45665.93366898148</v>
      </c>
      <c r="K664" s="11" t="n">
        <v>0.02607638888888889</v>
      </c>
      <c r="L664" s="13" t="n"/>
    </row>
    <row r="665">
      <c r="A665" s="3" t="inlineStr">
        <is>
          <t>Securing</t>
        </is>
      </c>
      <c r="B665" s="3" t="inlineStr">
        <is>
          <t>Act_SEC_1202601+1202602_051246_615</t>
        </is>
      </c>
      <c r="C665" s="3" t="inlineStr">
        <is>
          <t>1202601+1202602</t>
        </is>
      </c>
      <c r="D665" s="9" t="n">
        <v>96</v>
      </c>
      <c r="E665" s="3" t="n"/>
      <c r="F665" s="3" t="n"/>
      <c r="G665" s="9" t="n"/>
      <c r="H665" s="10" t="n">
        <v>45666.21719907408</v>
      </c>
      <c r="I665" s="10" t="n">
        <v>45666.21803240741</v>
      </c>
      <c r="J665" s="10" t="n">
        <v>45666.2278125</v>
      </c>
      <c r="K665" s="11" t="n">
        <v>0.009780092592592592</v>
      </c>
      <c r="L665" s="13" t="n"/>
    </row>
    <row r="666">
      <c r="A666" s="3" t="inlineStr">
        <is>
          <t>Securing</t>
        </is>
      </c>
      <c r="B666" s="3" t="inlineStr">
        <is>
          <t>Act_SEC_1202603_051439_613</t>
        </is>
      </c>
      <c r="C666" s="3" t="inlineStr">
        <is>
          <t>1202603</t>
        </is>
      </c>
      <c r="D666" s="9" t="n">
        <v>32</v>
      </c>
      <c r="E666" s="3" t="n"/>
      <c r="F666" s="3" t="n"/>
      <c r="G666" s="9" t="n"/>
      <c r="H666" s="10" t="n">
        <v>45666.21850694445</v>
      </c>
      <c r="I666" s="10" t="n">
        <v>45666.21929398148</v>
      </c>
      <c r="J666" s="10" t="n">
        <v>45666.22225694444</v>
      </c>
      <c r="K666" s="11" t="n">
        <v>0.002962962962962963</v>
      </c>
      <c r="L666" s="13" t="n"/>
    </row>
    <row r="667">
      <c r="A667" s="3" t="inlineStr">
        <is>
          <t>Securing</t>
        </is>
      </c>
      <c r="B667" s="3" t="inlineStr">
        <is>
          <t>Act_SEC_1202701+1202702+1202703_052318_625</t>
        </is>
      </c>
      <c r="C667" s="3" t="inlineStr">
        <is>
          <t>1202701+1202702+1202703</t>
        </is>
      </c>
      <c r="D667" s="9" t="n">
        <v>176</v>
      </c>
      <c r="E667" s="3" t="n"/>
      <c r="F667" s="3" t="n"/>
      <c r="G667" s="9" t="n"/>
      <c r="H667" s="10" t="n">
        <v>45666.22451388889</v>
      </c>
      <c r="I667" s="10" t="n">
        <v>45666.2253587963</v>
      </c>
      <c r="J667" s="10" t="n">
        <v>45666.24328703704</v>
      </c>
      <c r="K667" s="11" t="n">
        <v>0.01792824074074074</v>
      </c>
      <c r="L667" s="13" t="n"/>
    </row>
    <row r="668">
      <c r="A668" s="3" t="inlineStr">
        <is>
          <t>Securing</t>
        </is>
      </c>
      <c r="B668" s="3" t="inlineStr">
        <is>
          <t>Act_SEC_1202802_053740_605</t>
        </is>
      </c>
      <c r="C668" s="3" t="inlineStr">
        <is>
          <t>1202802</t>
        </is>
      </c>
      <c r="D668" s="9" t="n">
        <v>48</v>
      </c>
      <c r="E668" s="3" t="n"/>
      <c r="F668" s="3" t="n"/>
      <c r="G668" s="9" t="n"/>
      <c r="H668" s="10" t="n">
        <v>45666.23449074074</v>
      </c>
      <c r="I668" s="10" t="n">
        <v>45666.23535879629</v>
      </c>
      <c r="J668" s="10" t="n">
        <v>45666.24025462963</v>
      </c>
      <c r="K668" s="11" t="n">
        <v>0.004895833333333334</v>
      </c>
      <c r="L668" s="13" t="n"/>
    </row>
    <row r="669">
      <c r="A669" s="3" t="inlineStr">
        <is>
          <t>Securing</t>
        </is>
      </c>
      <c r="B669" s="3" t="inlineStr">
        <is>
          <t>Act_SEC_1203101+1203102+1203103_055435_619</t>
        </is>
      </c>
      <c r="C669" s="3" t="inlineStr">
        <is>
          <t>1203101+1203102+1203103</t>
        </is>
      </c>
      <c r="D669" s="9" t="n">
        <v>96</v>
      </c>
      <c r="E669" s="3" t="n"/>
      <c r="F669" s="3" t="n"/>
      <c r="G669" s="9" t="n"/>
      <c r="H669" s="10" t="n">
        <v>45666.24623842593</v>
      </c>
      <c r="I669" s="10" t="n">
        <v>45666.26866898148</v>
      </c>
      <c r="J669" s="10" t="n">
        <v>45666.27844907407</v>
      </c>
      <c r="K669" s="11" t="n">
        <v>0.009780092592592592</v>
      </c>
      <c r="L669" s="13" t="n"/>
    </row>
    <row r="670">
      <c r="A670" s="3" t="inlineStr">
        <is>
          <t>Securing</t>
        </is>
      </c>
      <c r="B670" s="3" t="inlineStr">
        <is>
          <t>Act_SEC_1203201+1203202+1203203_060005_623</t>
        </is>
      </c>
      <c r="C670" s="3" t="inlineStr">
        <is>
          <t>1203201+1203202+1203203</t>
        </is>
      </c>
      <c r="D670" s="9" t="n">
        <v>160</v>
      </c>
      <c r="E670" s="3" t="n"/>
      <c r="F670" s="3" t="n"/>
      <c r="G670" s="9" t="n"/>
      <c r="H670" s="10" t="n">
        <v>45666.25005787037</v>
      </c>
      <c r="I670" s="10" t="n">
        <v>45666.26923611111</v>
      </c>
      <c r="J670" s="10" t="n">
        <v>45666.2855324074</v>
      </c>
      <c r="K670" s="11" t="n">
        <v>0.01629629629629629</v>
      </c>
      <c r="L670" s="13" t="n"/>
    </row>
    <row r="671">
      <c r="A671" s="3" t="inlineStr">
        <is>
          <t>Securing</t>
        </is>
      </c>
      <c r="B671" s="3" t="inlineStr">
        <is>
          <t>Act_SEC_1203301_060641_607</t>
        </is>
      </c>
      <c r="C671" s="3" t="inlineStr">
        <is>
          <t>1203301</t>
        </is>
      </c>
      <c r="D671" s="9" t="n">
        <v>80</v>
      </c>
      <c r="E671" s="3" t="n"/>
      <c r="F671" s="3" t="n"/>
      <c r="G671" s="9" t="n"/>
      <c r="H671" s="10" t="n">
        <v>45666.2546412037</v>
      </c>
      <c r="I671" s="10" t="n">
        <v>45666.26930555556</v>
      </c>
      <c r="J671" s="10" t="n">
        <v>45666.2774537037</v>
      </c>
      <c r="K671" s="11" t="n">
        <v>0.008148148148148147</v>
      </c>
      <c r="L671" s="13" t="n"/>
    </row>
    <row r="672">
      <c r="A672" s="3" t="inlineStr">
        <is>
          <t>Securing</t>
        </is>
      </c>
      <c r="B672" s="3" t="inlineStr">
        <is>
          <t>Act_SEC_1203302_060914_606</t>
        </is>
      </c>
      <c r="C672" s="3" t="inlineStr">
        <is>
          <t>1203302</t>
        </is>
      </c>
      <c r="D672" s="9" t="n">
        <v>48</v>
      </c>
      <c r="E672" s="3" t="n"/>
      <c r="F672" s="3" t="n"/>
      <c r="G672" s="9" t="n"/>
      <c r="H672" s="10" t="n">
        <v>45666.25641203704</v>
      </c>
      <c r="I672" s="10" t="n">
        <v>45666.27206018518</v>
      </c>
      <c r="J672" s="10" t="n">
        <v>45666.27650462963</v>
      </c>
      <c r="K672" s="11" t="n">
        <v>0.004444444444444444</v>
      </c>
      <c r="L672" s="13" t="n"/>
    </row>
    <row r="673">
      <c r="A673" s="3" t="inlineStr">
        <is>
          <t>Securing</t>
        </is>
      </c>
      <c r="B673" s="3" t="inlineStr">
        <is>
          <t>Act_SEC_1203401+1203402+1203403_111248_615</t>
        </is>
      </c>
      <c r="C673" s="3" t="inlineStr">
        <is>
          <t>1203401+1203402+1203403</t>
        </is>
      </c>
      <c r="D673" s="9" t="n">
        <v>128</v>
      </c>
      <c r="E673" s="3" t="n"/>
      <c r="F673" s="3" t="n"/>
      <c r="G673" s="9" t="n"/>
      <c r="H673" s="10" t="n">
        <v>45666.46722222222</v>
      </c>
      <c r="I673" s="10" t="n">
        <v>45666.46805555555</v>
      </c>
      <c r="J673" s="10" t="n">
        <v>45666.48108796297</v>
      </c>
      <c r="K673" s="11" t="n">
        <v>0.01303240740740741</v>
      </c>
      <c r="L673" s="13" t="n"/>
    </row>
    <row r="674">
      <c r="A674" s="3" t="inlineStr">
        <is>
          <t>Securing</t>
        </is>
      </c>
      <c r="B674" s="3" t="inlineStr">
        <is>
          <t>Act_SEC_1203404_111442_613</t>
        </is>
      </c>
      <c r="C674" s="3" t="inlineStr">
        <is>
          <t>1203404</t>
        </is>
      </c>
      <c r="D674" s="9" t="n">
        <v>48</v>
      </c>
      <c r="E674" s="3" t="n"/>
      <c r="F674" s="3" t="n"/>
      <c r="G674" s="9" t="n"/>
      <c r="H674" s="10" t="n">
        <v>45666.46854166667</v>
      </c>
      <c r="I674" s="10" t="n">
        <v>45666.46931712963</v>
      </c>
      <c r="J674" s="10" t="n">
        <v>45666.47376157407</v>
      </c>
      <c r="K674" s="11" t="n">
        <v>0.004444444444444444</v>
      </c>
      <c r="L674" s="13" t="n"/>
    </row>
    <row r="675">
      <c r="A675" s="3" t="inlineStr">
        <is>
          <t>Securing</t>
        </is>
      </c>
      <c r="B675" s="3" t="inlineStr">
        <is>
          <t>Act_SEC_1203502_112052_625</t>
        </is>
      </c>
      <c r="C675" s="3" t="inlineStr">
        <is>
          <t>1203502</t>
        </is>
      </c>
      <c r="D675" s="9" t="n">
        <v>32</v>
      </c>
      <c r="E675" s="3" t="n"/>
      <c r="F675" s="3" t="n"/>
      <c r="G675" s="9" t="n"/>
      <c r="H675" s="10" t="n">
        <v>45666.47282407407</v>
      </c>
      <c r="I675" s="10" t="n">
        <v>45666.47361111111</v>
      </c>
      <c r="J675" s="10" t="n">
        <v>45666.47657407408</v>
      </c>
      <c r="K675" s="11" t="n">
        <v>0.002962962962962963</v>
      </c>
      <c r="L675" s="13" t="n"/>
    </row>
    <row r="676">
      <c r="A676" s="3" t="inlineStr">
        <is>
          <t>Securing</t>
        </is>
      </c>
      <c r="B676" s="3" t="inlineStr">
        <is>
          <t>Act_SEC_1203601+1203602_131531_615</t>
        </is>
      </c>
      <c r="C676" s="3" t="inlineStr">
        <is>
          <t>1203601+1203602</t>
        </is>
      </c>
      <c r="D676" s="9" t="n">
        <v>80</v>
      </c>
      <c r="E676" s="3" t="n"/>
      <c r="F676" s="3" t="n"/>
      <c r="G676" s="9" t="n"/>
      <c r="H676" s="10" t="n">
        <v>45666.55244212963</v>
      </c>
      <c r="I676" s="10" t="n">
        <v>45666.55328703704</v>
      </c>
      <c r="J676" s="10" t="n">
        <v>45666.56143518518</v>
      </c>
      <c r="K676" s="11" t="n">
        <v>0.008148148148148147</v>
      </c>
      <c r="L676" s="13" t="n"/>
    </row>
    <row r="677">
      <c r="A677" s="3" t="inlineStr">
        <is>
          <t>Securing</t>
        </is>
      </c>
      <c r="B677" s="3" t="inlineStr">
        <is>
          <t>Act_SEC_1203603+1203604+1203605_131800_613</t>
        </is>
      </c>
      <c r="C677" s="3" t="inlineStr">
        <is>
          <t>1203603+1203604+1203605</t>
        </is>
      </c>
      <c r="D677" s="9" t="n">
        <v>208</v>
      </c>
      <c r="E677" s="3" t="n"/>
      <c r="F677" s="3" t="n"/>
      <c r="G677" s="9" t="n"/>
      <c r="H677" s="10" t="n">
        <v>45666.55416666667</v>
      </c>
      <c r="I677" s="10" t="n">
        <v>45666.55494212963</v>
      </c>
      <c r="J677" s="10" t="n">
        <v>45666.57420138889</v>
      </c>
      <c r="K677" s="11" t="n">
        <v>0.01925925925925926</v>
      </c>
      <c r="L677" s="13" t="n"/>
    </row>
    <row r="678">
      <c r="A678" s="3" t="inlineStr">
        <is>
          <t>Securing</t>
        </is>
      </c>
      <c r="B678" s="3" t="inlineStr">
        <is>
          <t>Act_SEC_1203801_133746_605</t>
        </is>
      </c>
      <c r="C678" s="3" t="inlineStr">
        <is>
          <t>1203801</t>
        </is>
      </c>
      <c r="D678" s="9" t="n">
        <v>32</v>
      </c>
      <c r="E678" s="3" t="n"/>
      <c r="F678" s="3" t="n"/>
      <c r="G678" s="9" t="n"/>
      <c r="H678" s="10" t="n">
        <v>45666.56789351852</v>
      </c>
      <c r="I678" s="10" t="n">
        <v>45666.56876157408</v>
      </c>
      <c r="J678" s="10" t="n">
        <v>45666.57201388889</v>
      </c>
      <c r="K678" s="11" t="n">
        <v>0.003252314814814815</v>
      </c>
      <c r="L678" s="13" t="n"/>
    </row>
    <row r="679">
      <c r="A679" s="3" t="inlineStr">
        <is>
          <t>Securing</t>
        </is>
      </c>
      <c r="B679" s="3" t="inlineStr">
        <is>
          <t>Act_SEC_1203901_135256_623</t>
        </is>
      </c>
      <c r="C679" s="3" t="inlineStr">
        <is>
          <t>1203901</t>
        </is>
      </c>
      <c r="D679" s="9" t="n">
        <v>80</v>
      </c>
      <c r="E679" s="3" t="n"/>
      <c r="F679" s="3" t="n"/>
      <c r="G679" s="9" t="n"/>
      <c r="H679" s="10" t="n">
        <v>45666.57842592592</v>
      </c>
      <c r="I679" s="10" t="n">
        <v>45666.57920138889</v>
      </c>
      <c r="J679" s="10" t="n">
        <v>45666.58660879629</v>
      </c>
      <c r="K679" s="11" t="n">
        <v>0.007407407407407408</v>
      </c>
      <c r="L679" s="13" t="n"/>
    </row>
    <row r="680">
      <c r="A680" s="3" t="inlineStr">
        <is>
          <t>Securing</t>
        </is>
      </c>
      <c r="B680" s="3" t="inlineStr">
        <is>
          <t>Act_SEC_1203902+1203903_135532_607</t>
        </is>
      </c>
      <c r="C680" s="3" t="inlineStr">
        <is>
          <t>1203902+1203903</t>
        </is>
      </c>
      <c r="D680" s="9" t="n">
        <v>112</v>
      </c>
      <c r="E680" s="3" t="n"/>
      <c r="F680" s="3" t="n"/>
      <c r="G680" s="9" t="n"/>
      <c r="H680" s="10" t="n">
        <v>45666.58023148148</v>
      </c>
      <c r="I680" s="10" t="n">
        <v>45666.58109953703</v>
      </c>
      <c r="J680" s="10" t="n">
        <v>45666.59251157408</v>
      </c>
      <c r="K680" s="11" t="n">
        <v>0.01141203703703704</v>
      </c>
      <c r="L680" s="13" t="n"/>
    </row>
    <row r="681">
      <c r="A681" s="3" t="inlineStr">
        <is>
          <t>Securing</t>
        </is>
      </c>
      <c r="B681" s="3" t="inlineStr">
        <is>
          <t>Act_SEC_1204001_140545_609</t>
        </is>
      </c>
      <c r="C681" s="3" t="inlineStr">
        <is>
          <t>1204001</t>
        </is>
      </c>
      <c r="D681" s="9" t="n">
        <v>80</v>
      </c>
      <c r="E681" s="3" t="n"/>
      <c r="F681" s="3" t="n"/>
      <c r="G681" s="9" t="n"/>
      <c r="H681" s="10" t="n">
        <v>45666.58732638889</v>
      </c>
      <c r="I681" s="10" t="n">
        <v>45666.58814814815</v>
      </c>
      <c r="J681" s="10" t="n">
        <v>45666.59555555556</v>
      </c>
      <c r="K681" s="11" t="n">
        <v>0.007407407407407408</v>
      </c>
      <c r="L681" s="13" t="n"/>
    </row>
    <row r="682">
      <c r="A682" s="3" t="inlineStr">
        <is>
          <t>Securing</t>
        </is>
      </c>
      <c r="B682" s="3" t="inlineStr">
        <is>
          <t>Act_SEC_1204101+1204102_191325_615</t>
        </is>
      </c>
      <c r="C682" s="3" t="inlineStr">
        <is>
          <t>1204101+1204102</t>
        </is>
      </c>
      <c r="D682" s="9" t="n">
        <v>144</v>
      </c>
      <c r="E682" s="3" t="n"/>
      <c r="F682" s="3" t="n"/>
      <c r="G682" s="9" t="n"/>
      <c r="H682" s="10" t="n">
        <v>45666.8009837963</v>
      </c>
      <c r="I682" s="10" t="n">
        <v>45666.80185185185</v>
      </c>
      <c r="J682" s="10" t="n">
        <v>45666.8165162037</v>
      </c>
      <c r="K682" s="11" t="n">
        <v>0.01466435185185185</v>
      </c>
      <c r="L682" s="13" t="n"/>
    </row>
    <row r="683">
      <c r="A683" s="3" t="inlineStr">
        <is>
          <t>Securing</t>
        </is>
      </c>
      <c r="B683" s="3" t="inlineStr">
        <is>
          <t>Act_SEC_1204201+1204202_192050_613</t>
        </is>
      </c>
      <c r="C683" s="3" t="inlineStr">
        <is>
          <t>1204201+1204202</t>
        </is>
      </c>
      <c r="D683" s="9" t="n">
        <v>96</v>
      </c>
      <c r="E683" s="3" t="n"/>
      <c r="F683" s="3" t="n"/>
      <c r="G683" s="9" t="n"/>
      <c r="H683" s="10" t="n">
        <v>45666.80613425926</v>
      </c>
      <c r="I683" s="10" t="n">
        <v>45666.80692129629</v>
      </c>
      <c r="J683" s="10" t="n">
        <v>45666.81581018519</v>
      </c>
      <c r="K683" s="11" t="n">
        <v>0.008888888888888889</v>
      </c>
      <c r="L683" s="13" t="n"/>
    </row>
    <row r="684">
      <c r="A684" s="3" t="inlineStr">
        <is>
          <t>Securing</t>
        </is>
      </c>
      <c r="B684" s="3" t="inlineStr">
        <is>
          <t>Act_SEC_1204203+1204204_192359_625</t>
        </is>
      </c>
      <c r="C684" s="3" t="inlineStr">
        <is>
          <t>1204203+1204204</t>
        </is>
      </c>
      <c r="D684" s="9" t="n">
        <v>96</v>
      </c>
      <c r="E684" s="3" t="n"/>
      <c r="F684" s="3" t="n"/>
      <c r="G684" s="9" t="n"/>
      <c r="H684" s="10" t="n">
        <v>45666.80832175926</v>
      </c>
      <c r="I684" s="10" t="n">
        <v>45666.80918981481</v>
      </c>
      <c r="J684" s="10" t="n">
        <v>45666.81895833334</v>
      </c>
      <c r="K684" s="11" t="n">
        <v>0.009768518518518518</v>
      </c>
      <c r="L684" s="13" t="n"/>
    </row>
    <row r="685">
      <c r="A685" s="3" t="inlineStr">
        <is>
          <t>Securing</t>
        </is>
      </c>
      <c r="B685" s="3" t="inlineStr">
        <is>
          <t>Act_SEC_1204401_071533_615</t>
        </is>
      </c>
      <c r="C685" s="3" t="inlineStr">
        <is>
          <t>1204401</t>
        </is>
      </c>
      <c r="D685" s="9" t="n">
        <v>32</v>
      </c>
      <c r="E685" s="3" t="n"/>
      <c r="F685" s="3" t="n"/>
      <c r="G685" s="9" t="n"/>
      <c r="H685" s="10" t="n">
        <v>45667.30246527777</v>
      </c>
      <c r="I685" s="10" t="n">
        <v>45667.30333333334</v>
      </c>
      <c r="J685" s="10" t="n">
        <v>45667.30658564815</v>
      </c>
      <c r="K685" s="11" t="n">
        <v>0.003252314814814815</v>
      </c>
      <c r="L685" s="13" t="n"/>
    </row>
    <row r="686">
      <c r="A686" s="3" t="inlineStr">
        <is>
          <t>Securing</t>
        </is>
      </c>
      <c r="B686" s="3" t="inlineStr">
        <is>
          <t>Act_SEC_1204402_071729_613</t>
        </is>
      </c>
      <c r="C686" s="3" t="inlineStr">
        <is>
          <t>1204402</t>
        </is>
      </c>
      <c r="D686" s="9" t="n">
        <v>48</v>
      </c>
      <c r="E686" s="3" t="n"/>
      <c r="F686" s="3" t="n"/>
      <c r="G686" s="9" t="n"/>
      <c r="H686" s="10" t="n">
        <v>45667.30380787037</v>
      </c>
      <c r="I686" s="10" t="n">
        <v>45667.30458333333</v>
      </c>
      <c r="J686" s="10" t="n">
        <v>45667.30902777778</v>
      </c>
      <c r="K686" s="11" t="n">
        <v>0.004444444444444444</v>
      </c>
      <c r="L686" s="13" t="n"/>
    </row>
    <row r="687">
      <c r="A687" s="3" t="inlineStr">
        <is>
          <t>Securing</t>
        </is>
      </c>
      <c r="B687" s="3" t="inlineStr">
        <is>
          <t>Act_SEC_1204501_075014_605</t>
        </is>
      </c>
      <c r="C687" s="3" t="inlineStr">
        <is>
          <t>1204501</t>
        </is>
      </c>
      <c r="D687" s="9" t="n">
        <v>64</v>
      </c>
      <c r="E687" s="3" t="n"/>
      <c r="F687" s="3" t="n"/>
      <c r="G687" s="9" t="n"/>
      <c r="H687" s="10" t="n">
        <v>45667.32655092593</v>
      </c>
      <c r="I687" s="10" t="n">
        <v>45667.32739583333</v>
      </c>
      <c r="J687" s="10" t="n">
        <v>45667.33392361111</v>
      </c>
      <c r="K687" s="11" t="n">
        <v>0.006527777777777778</v>
      </c>
      <c r="L687" s="13" t="n"/>
    </row>
    <row r="688">
      <c r="A688" s="3" t="inlineStr">
        <is>
          <t>Securing</t>
        </is>
      </c>
      <c r="B688" s="3" t="inlineStr">
        <is>
          <t>Act_SEC_1204502_075249_623</t>
        </is>
      </c>
      <c r="C688" s="3" t="inlineStr">
        <is>
          <t>1204502</t>
        </is>
      </c>
      <c r="D688" s="9" t="n">
        <v>32</v>
      </c>
      <c r="E688" s="3" t="n"/>
      <c r="F688" s="3" t="n"/>
      <c r="G688" s="9" t="n"/>
      <c r="H688" s="10" t="n">
        <v>45667.32834490741</v>
      </c>
      <c r="I688" s="10" t="n">
        <v>45667.32921296296</v>
      </c>
      <c r="J688" s="10" t="n">
        <v>45667.33247685185</v>
      </c>
      <c r="K688" s="11" t="n">
        <v>0.003263888888888889</v>
      </c>
      <c r="L688" s="13" t="n"/>
    </row>
    <row r="689">
      <c r="A689" s="3" t="inlineStr">
        <is>
          <t>Securing</t>
        </is>
      </c>
      <c r="B689" s="3" t="inlineStr">
        <is>
          <t>Act_SEC_1204702_092044_627</t>
        </is>
      </c>
      <c r="C689" s="3" t="inlineStr">
        <is>
          <t>1204702</t>
        </is>
      </c>
      <c r="D689" s="9" t="n">
        <v>64</v>
      </c>
      <c r="E689" s="3" t="n"/>
      <c r="F689" s="3" t="n"/>
      <c r="G689" s="9" t="n"/>
      <c r="H689" s="10" t="n">
        <v>45667.38939814815</v>
      </c>
      <c r="I689" s="10" t="n">
        <v>45667.39026620371</v>
      </c>
      <c r="J689" s="10" t="n">
        <v>45667.39678240741</v>
      </c>
      <c r="K689" s="11" t="n">
        <v>0.006516203703703704</v>
      </c>
      <c r="L689" s="13" t="n"/>
    </row>
    <row r="690">
      <c r="A690" s="3" t="inlineStr">
        <is>
          <t>Securing</t>
        </is>
      </c>
      <c r="B690" s="3" t="inlineStr">
        <is>
          <t>Act_SEC_1204703_092339_619</t>
        </is>
      </c>
      <c r="C690" s="3" t="inlineStr">
        <is>
          <t>1204703</t>
        </is>
      </c>
      <c r="D690" s="9" t="n">
        <v>48</v>
      </c>
      <c r="E690" s="3" t="n"/>
      <c r="F690" s="3" t="n"/>
      <c r="G690" s="9" t="n"/>
      <c r="H690" s="10" t="n">
        <v>45667.39142361111</v>
      </c>
      <c r="I690" s="10" t="n">
        <v>45667.39226851852</v>
      </c>
      <c r="J690" s="10" t="n">
        <v>45667.39716435185</v>
      </c>
      <c r="K690" s="11" t="n">
        <v>0.004895833333333334</v>
      </c>
      <c r="L690" s="13" t="n"/>
    </row>
    <row r="691">
      <c r="A691" s="3" t="inlineStr">
        <is>
          <t>Securing</t>
        </is>
      </c>
      <c r="B691" s="3" t="inlineStr">
        <is>
          <t>Act_SEC_1204801+1204802+1204803_131454_615</t>
        </is>
      </c>
      <c r="C691" s="3" t="inlineStr">
        <is>
          <t>1204801+1204802+1204803</t>
        </is>
      </c>
      <c r="D691" s="9" t="n">
        <v>128</v>
      </c>
      <c r="E691" s="3" t="n"/>
      <c r="F691" s="3" t="n"/>
      <c r="G691" s="9" t="n"/>
      <c r="H691" s="10" t="n">
        <v>45667.55201388889</v>
      </c>
      <c r="I691" s="10" t="n">
        <v>45667.55287037037</v>
      </c>
      <c r="J691" s="10" t="n">
        <v>45667.56590277778</v>
      </c>
      <c r="K691" s="11" t="n">
        <v>0.01303240740740741</v>
      </c>
      <c r="L691" s="13" t="n"/>
    </row>
    <row r="692">
      <c r="A692" s="3" t="inlineStr">
        <is>
          <t>Securing</t>
        </is>
      </c>
      <c r="B692" s="3" t="inlineStr">
        <is>
          <t>Act_SEC_1204805_132020_607</t>
        </is>
      </c>
      <c r="C692" s="3" t="inlineStr">
        <is>
          <t>1204805</t>
        </is>
      </c>
      <c r="D692" s="9" t="n">
        <v>32</v>
      </c>
      <c r="E692" s="3" t="n"/>
      <c r="F692" s="3" t="n"/>
      <c r="G692" s="9" t="n"/>
      <c r="H692" s="10" t="n">
        <v>45667.55578703704</v>
      </c>
      <c r="I692" s="10" t="n">
        <v>45667.55665509259</v>
      </c>
      <c r="J692" s="10" t="n">
        <v>45667.55991898148</v>
      </c>
      <c r="K692" s="11" t="n">
        <v>0.003263888888888889</v>
      </c>
      <c r="L692" s="13" t="n"/>
    </row>
    <row r="693">
      <c r="A693" s="3" t="inlineStr">
        <is>
          <t>Securing</t>
        </is>
      </c>
      <c r="B693" s="3" t="inlineStr">
        <is>
          <t>Act_SEC_1205001_151541_615</t>
        </is>
      </c>
      <c r="C693" s="3" t="inlineStr">
        <is>
          <t>1205001</t>
        </is>
      </c>
      <c r="D693" s="9" t="n">
        <v>32</v>
      </c>
      <c r="E693" s="3" t="n"/>
      <c r="F693" s="3" t="n"/>
      <c r="G693" s="9" t="n"/>
      <c r="H693" s="10" t="n">
        <v>45667.6358912037</v>
      </c>
      <c r="I693" s="10" t="n">
        <v>45667.63675925926</v>
      </c>
      <c r="J693" s="10" t="n">
        <v>45667.64001157408</v>
      </c>
      <c r="K693" s="11" t="n">
        <v>0.003252314814814815</v>
      </c>
      <c r="L693" s="13" t="n"/>
    </row>
    <row r="694">
      <c r="A694" s="3" t="inlineStr">
        <is>
          <t>Securing</t>
        </is>
      </c>
      <c r="B694" s="3" t="inlineStr">
        <is>
          <t>Act_SEC_1205003+1205004_152055_625</t>
        </is>
      </c>
      <c r="C694" s="3" t="inlineStr">
        <is>
          <t>1205003+1205004</t>
        </is>
      </c>
      <c r="D694" s="9" t="n">
        <v>128</v>
      </c>
      <c r="E694" s="3" t="n"/>
      <c r="F694" s="3" t="n"/>
      <c r="G694" s="9" t="n"/>
      <c r="H694" s="10" t="n">
        <v>45667.63952546296</v>
      </c>
      <c r="I694" s="10" t="n">
        <v>45667.6403587963</v>
      </c>
      <c r="J694" s="10" t="n">
        <v>45667.65340277777</v>
      </c>
      <c r="K694" s="11" t="n">
        <v>0.01304398148148148</v>
      </c>
      <c r="L694" s="13" t="n"/>
    </row>
    <row r="695">
      <c r="A695" s="3" t="inlineStr">
        <is>
          <t>Securing</t>
        </is>
      </c>
      <c r="B695" s="3" t="inlineStr">
        <is>
          <t>Act_SEC_1205101+1205102+1205103_155528_605</t>
        </is>
      </c>
      <c r="C695" s="3" t="inlineStr">
        <is>
          <t>1205101+1205102+1205103</t>
        </is>
      </c>
      <c r="D695" s="9" t="n">
        <v>160</v>
      </c>
      <c r="E695" s="3" t="n"/>
      <c r="F695" s="3" t="n"/>
      <c r="G695" s="9" t="n"/>
      <c r="H695" s="10" t="n">
        <v>45667.66351851852</v>
      </c>
      <c r="I695" s="10" t="n">
        <v>45667.66436342592</v>
      </c>
      <c r="J695" s="10" t="n">
        <v>45667.68065972222</v>
      </c>
      <c r="K695" s="11" t="n">
        <v>0.01629629629629629</v>
      </c>
      <c r="L695" s="13" t="n"/>
    </row>
    <row r="696">
      <c r="A696" s="3" t="inlineStr">
        <is>
          <t>Securing</t>
        </is>
      </c>
      <c r="B696" s="3" t="inlineStr">
        <is>
          <t>Act_SEC_1205301_170831_613</t>
        </is>
      </c>
      <c r="C696" s="3" t="inlineStr">
        <is>
          <t>1205301</t>
        </is>
      </c>
      <c r="D696" s="9" t="n">
        <v>48</v>
      </c>
      <c r="E696" s="3" t="n"/>
      <c r="F696" s="3" t="n"/>
      <c r="G696" s="9" t="n"/>
      <c r="H696" s="10" t="n">
        <v>45667.71424768519</v>
      </c>
      <c r="I696" s="10" t="n">
        <v>45667.71511574074</v>
      </c>
      <c r="J696" s="10" t="n">
        <v>45667.72</v>
      </c>
      <c r="K696" s="11" t="n">
        <v>0.004884259259259259</v>
      </c>
      <c r="L696" s="13" t="n"/>
    </row>
    <row r="697">
      <c r="A697" s="3" t="inlineStr">
        <is>
          <t>Securing</t>
        </is>
      </c>
      <c r="B697" s="3" t="inlineStr">
        <is>
          <t>Act_SEC_1205401+1205402_201433_625</t>
        </is>
      </c>
      <c r="C697" s="3" t="inlineStr">
        <is>
          <t>1205401+1205402</t>
        </is>
      </c>
      <c r="D697" s="9" t="n">
        <v>96</v>
      </c>
      <c r="E697" s="3" t="n"/>
      <c r="F697" s="3" t="n"/>
      <c r="G697" s="9" t="n"/>
      <c r="H697" s="10" t="n">
        <v>45667.8434375</v>
      </c>
      <c r="I697" s="10" t="n">
        <v>45667.84430555555</v>
      </c>
      <c r="J697" s="10" t="n">
        <v>45667.85408564815</v>
      </c>
      <c r="K697" s="11" t="n">
        <v>0.009780092592592592</v>
      </c>
      <c r="L697" s="13" t="n"/>
    </row>
    <row r="698">
      <c r="A698" s="3" t="inlineStr">
        <is>
          <t>Securing</t>
        </is>
      </c>
      <c r="B698" s="3" t="inlineStr">
        <is>
          <t>Act_SEC_1205403_201708_605</t>
        </is>
      </c>
      <c r="C698" s="3" t="inlineStr">
        <is>
          <t>1205403</t>
        </is>
      </c>
      <c r="D698" s="9" t="n">
        <v>48</v>
      </c>
      <c r="E698" s="3" t="n"/>
      <c r="F698" s="3" t="n"/>
      <c r="G698" s="9" t="n"/>
      <c r="H698" s="10" t="n">
        <v>45667.84523148148</v>
      </c>
      <c r="I698" s="10" t="n">
        <v>45667.84609953704</v>
      </c>
      <c r="J698" s="10" t="n">
        <v>45667.85099537037</v>
      </c>
      <c r="K698" s="11" t="n">
        <v>0.004895833333333334</v>
      </c>
      <c r="L698" s="13" t="n"/>
    </row>
    <row r="699">
      <c r="A699" s="3" t="inlineStr">
        <is>
          <t>Securing</t>
        </is>
      </c>
      <c r="B699" s="3" t="inlineStr">
        <is>
          <t>Act_SEC_1205501_224440_623</t>
        </is>
      </c>
      <c r="C699" s="3" t="inlineStr">
        <is>
          <t>1205501</t>
        </is>
      </c>
      <c r="D699" s="9" t="n">
        <v>32</v>
      </c>
      <c r="E699" s="3" t="n"/>
      <c r="F699" s="3" t="n"/>
      <c r="G699" s="9" t="n"/>
      <c r="H699" s="10" t="n">
        <v>45667.94768518519</v>
      </c>
      <c r="I699" s="10" t="n">
        <v>45667.94855324074</v>
      </c>
      <c r="J699" s="10" t="n">
        <v>45667.95181712963</v>
      </c>
      <c r="K699" s="11" t="n">
        <v>0.003263888888888889</v>
      </c>
      <c r="L699" s="13" t="n"/>
    </row>
    <row r="700">
      <c r="A700" s="3" t="inlineStr">
        <is>
          <t>Securing</t>
        </is>
      </c>
      <c r="B700" s="3" t="inlineStr">
        <is>
          <t>Act_SEC_1205502_224732_619</t>
        </is>
      </c>
      <c r="C700" s="3" t="inlineStr">
        <is>
          <t>1205502</t>
        </is>
      </c>
      <c r="D700" s="9" t="n">
        <v>32</v>
      </c>
      <c r="E700" s="3" t="n"/>
      <c r="F700" s="3" t="n"/>
      <c r="G700" s="9" t="n"/>
      <c r="H700" s="10" t="n">
        <v>45667.94967592593</v>
      </c>
      <c r="I700" s="10" t="n">
        <v>45667.95054398148</v>
      </c>
      <c r="J700" s="10" t="n">
        <v>45667.95380787037</v>
      </c>
      <c r="K700" s="11" t="n">
        <v>0.003263888888888889</v>
      </c>
      <c r="L700" s="13" t="n"/>
    </row>
    <row r="701">
      <c r="A701" s="3" t="inlineStr">
        <is>
          <t>Securing</t>
        </is>
      </c>
      <c r="B701" s="3" t="inlineStr">
        <is>
          <t>Act_SEC_1205702_062911_606</t>
        </is>
      </c>
      <c r="C701" s="3" t="inlineStr">
        <is>
          <t>1205702</t>
        </is>
      </c>
      <c r="D701" s="9" t="n">
        <v>32</v>
      </c>
      <c r="E701" s="3" t="n"/>
      <c r="F701" s="3" t="n"/>
      <c r="G701" s="9" t="n"/>
      <c r="H701" s="10" t="n">
        <v>45668.2702662037</v>
      </c>
      <c r="I701" s="10" t="n">
        <v>45668.27109953704</v>
      </c>
      <c r="J701" s="10" t="n">
        <v>45668.27436342592</v>
      </c>
      <c r="K701" s="11" t="n">
        <v>0.003263888888888889</v>
      </c>
      <c r="L701" s="13" t="n"/>
    </row>
    <row r="702">
      <c r="A702" s="3" t="inlineStr">
        <is>
          <t>Securing</t>
        </is>
      </c>
      <c r="B702" s="3" t="inlineStr">
        <is>
          <t>Act_SEC_1205703_063134_607</t>
        </is>
      </c>
      <c r="C702" s="3" t="inlineStr">
        <is>
          <t>1205703</t>
        </is>
      </c>
      <c r="D702" s="9" t="n">
        <v>48</v>
      </c>
      <c r="E702" s="3" t="n"/>
      <c r="F702" s="3" t="n"/>
      <c r="G702" s="9" t="n"/>
      <c r="H702" s="10" t="n">
        <v>45668.2719212963</v>
      </c>
      <c r="I702" s="10" t="n">
        <v>45668.27278935185</v>
      </c>
      <c r="J702" s="10" t="n">
        <v>45668.27767361111</v>
      </c>
      <c r="K702" s="11" t="n">
        <v>0.004884259259259259</v>
      </c>
      <c r="L702" s="13" t="n"/>
    </row>
    <row r="703">
      <c r="A703" s="3" t="inlineStr">
        <is>
          <t>Securing</t>
        </is>
      </c>
      <c r="B703" s="3" t="inlineStr">
        <is>
          <t>Act_SEC_1206003_073645_615</t>
        </is>
      </c>
      <c r="C703" s="3" t="inlineStr">
        <is>
          <t>1206003</t>
        </is>
      </c>
      <c r="D703" s="9" t="n">
        <v>48</v>
      </c>
      <c r="E703" s="3" t="n"/>
      <c r="F703" s="3" t="n"/>
      <c r="G703" s="9" t="n"/>
      <c r="H703" s="10" t="n">
        <v>45668.3171875</v>
      </c>
      <c r="I703" s="10" t="n">
        <v>45668.31805555556</v>
      </c>
      <c r="J703" s="10" t="n">
        <v>45668.32295138889</v>
      </c>
      <c r="K703" s="11" t="n">
        <v>0.004895833333333334</v>
      </c>
      <c r="L703" s="13" t="n"/>
    </row>
    <row r="704">
      <c r="A704" s="3" t="inlineStr">
        <is>
          <t>Securing</t>
        </is>
      </c>
      <c r="B704" s="3" t="inlineStr">
        <is>
          <t>Act_SEC_1206101_121406_625</t>
        </is>
      </c>
      <c r="C704" s="3" t="inlineStr">
        <is>
          <t>1206101</t>
        </is>
      </c>
      <c r="D704" s="9" t="n">
        <v>80</v>
      </c>
      <c r="E704" s="3" t="n"/>
      <c r="F704" s="3" t="n"/>
      <c r="G704" s="9" t="n"/>
      <c r="H704" s="10" t="n">
        <v>45668.50979166666</v>
      </c>
      <c r="I704" s="10" t="n">
        <v>45668.5105787037</v>
      </c>
      <c r="J704" s="10" t="n">
        <v>45668.51798611111</v>
      </c>
      <c r="K704" s="11" t="n">
        <v>0.007407407407407408</v>
      </c>
      <c r="L704" s="13" t="n"/>
    </row>
    <row r="705">
      <c r="A705" s="3" t="inlineStr">
        <is>
          <t>Securing</t>
        </is>
      </c>
      <c r="B705" s="3" t="inlineStr">
        <is>
          <t>Act_SEC_1206403_125728_619</t>
        </is>
      </c>
      <c r="C705" s="3" t="inlineStr">
        <is>
          <t>1206403</t>
        </is>
      </c>
      <c r="D705" s="9" t="n">
        <v>48</v>
      </c>
      <c r="E705" s="3" t="n"/>
      <c r="F705" s="3" t="n"/>
      <c r="G705" s="9" t="n"/>
      <c r="H705" s="10" t="n">
        <v>45668.53990740741</v>
      </c>
      <c r="I705" s="10" t="n">
        <v>45668.54122685185</v>
      </c>
      <c r="J705" s="10" t="n">
        <v>45668.54611111111</v>
      </c>
      <c r="K705" s="11" t="n">
        <v>0.004884259259259259</v>
      </c>
      <c r="L705" s="13" t="n"/>
    </row>
    <row r="706">
      <c r="A706" s="3" t="inlineStr">
        <is>
          <t>Securing</t>
        </is>
      </c>
      <c r="B706" s="3" t="inlineStr">
        <is>
          <t>Act_SEC_1206501+1206502_130725_613</t>
        </is>
      </c>
      <c r="C706" s="3" t="inlineStr">
        <is>
          <t>1206501+1206502</t>
        </is>
      </c>
      <c r="D706" s="9" t="n">
        <v>96</v>
      </c>
      <c r="E706" s="3" t="n"/>
      <c r="F706" s="3" t="n"/>
      <c r="G706" s="9" t="n"/>
      <c r="H706" s="10" t="n">
        <v>45668.54681712963</v>
      </c>
      <c r="I706" s="10" t="n">
        <v>45668.54768518519</v>
      </c>
      <c r="J706" s="10" t="n">
        <v>45668.55657407407</v>
      </c>
      <c r="K706" s="11" t="n">
        <v>0.008888888888888889</v>
      </c>
      <c r="L706" s="13" t="n"/>
    </row>
    <row r="707">
      <c r="A707" s="3" t="inlineStr">
        <is>
          <t>Securing</t>
        </is>
      </c>
      <c r="B707" s="3" t="inlineStr">
        <is>
          <t>Act_SEC_1206503_130957_623</t>
        </is>
      </c>
      <c r="C707" s="3" t="inlineStr">
        <is>
          <t>1206503</t>
        </is>
      </c>
      <c r="D707" s="9" t="n">
        <v>32</v>
      </c>
      <c r="E707" s="3" t="n"/>
      <c r="F707" s="3" t="n"/>
      <c r="G707" s="9" t="n"/>
      <c r="H707" s="10" t="n">
        <v>45668.54857638889</v>
      </c>
      <c r="I707" s="10" t="n">
        <v>45668.54944444444</v>
      </c>
      <c r="J707" s="10" t="n">
        <v>45668.55270833334</v>
      </c>
      <c r="K707" s="11" t="n">
        <v>0.003263888888888889</v>
      </c>
      <c r="L707" s="13" t="n"/>
    </row>
    <row r="708">
      <c r="A708" s="3" t="inlineStr">
        <is>
          <t>Securing</t>
        </is>
      </c>
      <c r="B708" s="3" t="inlineStr">
        <is>
          <t>Act_SEC_1206601_131659_607</t>
        </is>
      </c>
      <c r="C708" s="3" t="inlineStr">
        <is>
          <t>1206601</t>
        </is>
      </c>
      <c r="D708" s="9" t="n">
        <v>48</v>
      </c>
      <c r="E708" s="3" t="n"/>
      <c r="F708" s="3" t="n"/>
      <c r="G708" s="9" t="n"/>
      <c r="H708" s="10" t="n">
        <v>45668.55346064815</v>
      </c>
      <c r="I708" s="10" t="n">
        <v>45668.55815972222</v>
      </c>
      <c r="J708" s="10" t="n">
        <v>45668.56260416667</v>
      </c>
      <c r="K708" s="11" t="n">
        <v>0.004444444444444444</v>
      </c>
      <c r="L708" s="13" t="n"/>
    </row>
    <row r="709">
      <c r="A709" s="3" t="inlineStr">
        <is>
          <t>Securing</t>
        </is>
      </c>
      <c r="B709" s="3" t="inlineStr">
        <is>
          <t>Act_SEC_1206602_131915_609</t>
        </is>
      </c>
      <c r="C709" s="3" t="inlineStr">
        <is>
          <t>1206602</t>
        </is>
      </c>
      <c r="D709" s="9" t="n">
        <v>48</v>
      </c>
      <c r="E709" s="3" t="n"/>
      <c r="F709" s="3" t="n"/>
      <c r="G709" s="9" t="n"/>
      <c r="H709" s="10" t="n">
        <v>45668.55503472222</v>
      </c>
      <c r="I709" s="10" t="n">
        <v>45668.56417824074</v>
      </c>
      <c r="J709" s="10" t="n">
        <v>45668.56862268518</v>
      </c>
      <c r="K709" s="11" t="n">
        <v>0.004444444444444444</v>
      </c>
      <c r="L709" s="13" t="n"/>
    </row>
    <row r="710">
      <c r="A710" s="3" t="inlineStr">
        <is>
          <t>Securing</t>
        </is>
      </c>
      <c r="B710" s="3" t="inlineStr">
        <is>
          <t>Act_SEC_1206702_181418_615</t>
        </is>
      </c>
      <c r="C710" s="3" t="inlineStr">
        <is>
          <t>1206702</t>
        </is>
      </c>
      <c r="D710" s="9" t="n">
        <v>48</v>
      </c>
      <c r="E710" s="3" t="n"/>
      <c r="F710" s="3" t="n"/>
      <c r="G710" s="9" t="n"/>
      <c r="H710" s="10" t="n">
        <v>45668.75993055556</v>
      </c>
      <c r="I710" s="10" t="n">
        <v>45668.76079861111</v>
      </c>
      <c r="J710" s="10" t="n">
        <v>45668.76569444445</v>
      </c>
      <c r="K710" s="11" t="n">
        <v>0.004895833333333334</v>
      </c>
      <c r="L710" s="13" t="n"/>
    </row>
    <row r="711">
      <c r="A711" s="3" t="inlineStr">
        <is>
          <t>Securing</t>
        </is>
      </c>
      <c r="B711" s="3" t="inlineStr">
        <is>
          <t>Act_SEC_1206805_212300_613</t>
        </is>
      </c>
      <c r="C711" s="3" t="inlineStr">
        <is>
          <t>1206805</t>
        </is>
      </c>
      <c r="D711" s="9" t="n">
        <v>80</v>
      </c>
      <c r="E711" s="3" t="n"/>
      <c r="F711" s="3" t="n"/>
      <c r="G711" s="9" t="n"/>
      <c r="H711" s="10" t="n">
        <v>45668.89097222222</v>
      </c>
      <c r="I711" s="10" t="n">
        <v>45668.89181712963</v>
      </c>
      <c r="J711" s="10" t="n">
        <v>45668.89996527778</v>
      </c>
      <c r="K711" s="11" t="n">
        <v>0.008148148148148147</v>
      </c>
      <c r="L711" s="13" t="n"/>
    </row>
    <row r="712">
      <c r="A712" s="3" t="inlineStr">
        <is>
          <t>Securing</t>
        </is>
      </c>
      <c r="B712" s="3" t="inlineStr">
        <is>
          <t>Act_SEC_1206901+1206902_234413_627</t>
        </is>
      </c>
      <c r="C712" s="3" t="inlineStr">
        <is>
          <t>1206901+1206902</t>
        </is>
      </c>
      <c r="D712" s="9" t="n">
        <v>128</v>
      </c>
      <c r="E712" s="3" t="n"/>
      <c r="F712" s="3" t="n"/>
      <c r="G712" s="9" t="n"/>
      <c r="H712" s="10" t="n">
        <v>45668.98903935185</v>
      </c>
      <c r="I712" s="10" t="n">
        <v>45668.98988425926</v>
      </c>
      <c r="J712" s="10" t="n">
        <v>45669.00291666666</v>
      </c>
      <c r="K712" s="11" t="n">
        <v>0.01303240740740741</v>
      </c>
      <c r="L712" s="13" t="n"/>
    </row>
    <row r="713">
      <c r="A713" s="3" t="inlineStr">
        <is>
          <t>Securing</t>
        </is>
      </c>
      <c r="B713" s="3" t="inlineStr">
        <is>
          <t>Act_SEC_1206903_234711_625</t>
        </is>
      </c>
      <c r="C713" s="3" t="inlineStr">
        <is>
          <t>1206903</t>
        </is>
      </c>
      <c r="D713" s="9" t="n">
        <v>32</v>
      </c>
      <c r="E713" s="3" t="n"/>
      <c r="F713" s="3" t="n"/>
      <c r="G713" s="9" t="n"/>
      <c r="H713" s="10" t="n">
        <v>45668.99109953704</v>
      </c>
      <c r="I713" s="10" t="n">
        <v>45668.99188657408</v>
      </c>
      <c r="J713" s="10" t="n">
        <v>45668.99484953703</v>
      </c>
      <c r="K713" s="11" t="n">
        <v>0.002962962962962963</v>
      </c>
      <c r="L713" s="13" t="n"/>
    </row>
    <row r="714">
      <c r="A714" s="3" t="inlineStr">
        <is>
          <t>Securing</t>
        </is>
      </c>
      <c r="B714" s="3" t="inlineStr">
        <is>
          <t>Act_SEC_1207103_094450_615</t>
        </is>
      </c>
      <c r="C714" s="3" t="inlineStr">
        <is>
          <t>1207103</t>
        </is>
      </c>
      <c r="D714" s="9" t="n">
        <v>48</v>
      </c>
      <c r="E714" s="3" t="n"/>
      <c r="F714" s="3" t="n"/>
      <c r="G714" s="9" t="n"/>
      <c r="H714" s="10" t="n">
        <v>45669.40613425926</v>
      </c>
      <c r="I714" s="10" t="n">
        <v>45669.40696759259</v>
      </c>
      <c r="J714" s="10" t="n">
        <v>45669.41186342593</v>
      </c>
      <c r="K714" s="11" t="n">
        <v>0.004895833333333334</v>
      </c>
      <c r="L714" s="13" t="n"/>
    </row>
    <row r="715">
      <c r="A715" s="3" t="inlineStr">
        <is>
          <t>Securing</t>
        </is>
      </c>
      <c r="B715" s="3" t="inlineStr">
        <is>
          <t>Act_SEC_1207202_102606_627</t>
        </is>
      </c>
      <c r="C715" s="3" t="inlineStr">
        <is>
          <t>1207202</t>
        </is>
      </c>
      <c r="D715" s="9" t="n">
        <v>32</v>
      </c>
      <c r="E715" s="3" t="n"/>
      <c r="F715" s="3" t="n"/>
      <c r="G715" s="9" t="n"/>
      <c r="H715" s="10" t="n">
        <v>45669.43479166667</v>
      </c>
      <c r="I715" s="10" t="n">
        <v>45669.43563657408</v>
      </c>
      <c r="J715" s="10" t="n">
        <v>45669.43888888889</v>
      </c>
      <c r="K715" s="11" t="n">
        <v>0.003252314814814815</v>
      </c>
      <c r="L715" s="13" t="n"/>
    </row>
    <row r="716">
      <c r="A716" s="3" t="inlineStr">
        <is>
          <t>Securing</t>
        </is>
      </c>
      <c r="B716" s="3" t="inlineStr">
        <is>
          <t>Act_SEC_1207301_111421_605</t>
        </is>
      </c>
      <c r="C716" s="3" t="inlineStr">
        <is>
          <t>1207301</t>
        </is>
      </c>
      <c r="D716" s="9" t="n">
        <v>80</v>
      </c>
      <c r="E716" s="3" t="n"/>
      <c r="F716" s="3" t="n"/>
      <c r="G716" s="9" t="n"/>
      <c r="H716" s="10" t="n">
        <v>45669.46829861111</v>
      </c>
      <c r="I716" s="10" t="n">
        <v>45669.46914351852</v>
      </c>
      <c r="J716" s="10" t="n">
        <v>45669.47729166667</v>
      </c>
      <c r="K716" s="11" t="n">
        <v>0.008148148148148147</v>
      </c>
      <c r="L716" s="13" t="n"/>
    </row>
    <row r="717">
      <c r="A717" s="3" t="inlineStr">
        <is>
          <t>Securing</t>
        </is>
      </c>
      <c r="B717" s="3" t="inlineStr">
        <is>
          <t>Act_SEC_1207402_120606_623</t>
        </is>
      </c>
      <c r="C717" s="3" t="inlineStr">
        <is>
          <t>1207402</t>
        </is>
      </c>
      <c r="D717" s="9" t="n">
        <v>48</v>
      </c>
      <c r="E717" s="3" t="n"/>
      <c r="F717" s="3" t="n"/>
      <c r="G717" s="9" t="n"/>
      <c r="H717" s="10" t="n">
        <v>45669.50423611111</v>
      </c>
      <c r="I717" s="10" t="n">
        <v>45669.50508101852</v>
      </c>
      <c r="J717" s="10" t="n">
        <v>45669.50996527778</v>
      </c>
      <c r="K717" s="11" t="n">
        <v>0.004884259259259259</v>
      </c>
      <c r="L717" s="13" t="n"/>
    </row>
    <row r="718">
      <c r="A718" s="3" t="inlineStr">
        <is>
          <t>Securing</t>
        </is>
      </c>
      <c r="B718" s="3" t="inlineStr">
        <is>
          <t>Act_SEC_1207403_120905_619</t>
        </is>
      </c>
      <c r="C718" s="3" t="inlineStr">
        <is>
          <t>1207403</t>
        </is>
      </c>
      <c r="D718" s="9" t="n">
        <v>64</v>
      </c>
      <c r="E718" s="3" t="n"/>
      <c r="F718" s="3" t="n"/>
      <c r="G718" s="9" t="n"/>
      <c r="H718" s="10" t="n">
        <v>45669.50630787037</v>
      </c>
      <c r="I718" s="10" t="n">
        <v>45669.50717592592</v>
      </c>
      <c r="J718" s="10" t="n">
        <v>45669.51369212963</v>
      </c>
      <c r="K718" s="11" t="n">
        <v>0.006516203703703704</v>
      </c>
      <c r="L718" s="13" t="n"/>
    </row>
    <row r="719">
      <c r="A719" s="3" t="inlineStr">
        <is>
          <t>Securing</t>
        </is>
      </c>
      <c r="B719" s="3" t="inlineStr">
        <is>
          <t>Act_SEC_1207502_161702_613</t>
        </is>
      </c>
      <c r="C719" s="3" t="inlineStr">
        <is>
          <t>1207502</t>
        </is>
      </c>
      <c r="D719" s="9" t="n">
        <v>32</v>
      </c>
      <c r="E719" s="3" t="n"/>
      <c r="F719" s="3" t="n"/>
      <c r="G719" s="9" t="n"/>
      <c r="H719" s="10" t="n">
        <v>45669.67849537037</v>
      </c>
      <c r="I719" s="10" t="n">
        <v>45669.67936342592</v>
      </c>
      <c r="J719" s="10" t="n">
        <v>45669.68261574074</v>
      </c>
      <c r="K719" s="11" t="n">
        <v>0.003252314814814815</v>
      </c>
      <c r="L719" s="13" t="n"/>
    </row>
    <row r="720">
      <c r="A720" s="3" t="inlineStr">
        <is>
          <t>Securing</t>
        </is>
      </c>
      <c r="B720" s="3" t="inlineStr">
        <is>
          <t>Act_SEC_1207503_161940_605</t>
        </is>
      </c>
      <c r="C720" s="3" t="inlineStr">
        <is>
          <t>1207503</t>
        </is>
      </c>
      <c r="D720" s="9" t="n">
        <v>64</v>
      </c>
      <c r="E720" s="3" t="n"/>
      <c r="F720" s="3" t="n"/>
      <c r="G720" s="9" t="n"/>
      <c r="H720" s="10" t="n">
        <v>45669.68032407408</v>
      </c>
      <c r="I720" s="10" t="n">
        <v>45669.68116898148</v>
      </c>
      <c r="J720" s="10" t="n">
        <v>45669.68769675926</v>
      </c>
      <c r="K720" s="11" t="n">
        <v>0.006527777777777778</v>
      </c>
      <c r="L720" s="13" t="n"/>
    </row>
  </sheetData>
  <autoFilter ref="A1:L7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OBT Id</t>
        </is>
      </c>
      <c r="B1" s="1" t="inlineStr">
        <is>
          <t>Destination</t>
        </is>
      </c>
      <c r="C1" s="1" t="inlineStr">
        <is>
          <t>Track</t>
        </is>
      </c>
      <c r="D1" s="1" t="inlineStr">
        <is>
          <t>WG Count</t>
        </is>
      </c>
      <c r="E1" s="1" t="inlineStr">
        <is>
          <t>First WG Arrival</t>
        </is>
      </c>
      <c r="F1" s="1" t="inlineStr">
        <is>
          <t>OBT Created</t>
        </is>
      </c>
      <c r="G1" s="1" t="inlineStr">
        <is>
          <t>OBTP Start</t>
        </is>
      </c>
      <c r="H1" s="1" t="inlineStr">
        <is>
          <t>OBTP End</t>
        </is>
      </c>
      <c r="I1" s="1" t="inlineStr">
        <is>
          <t>DEPD Start</t>
        </is>
      </c>
      <c r="J1" s="1" t="inlineStr">
        <is>
          <t>DEPD End</t>
        </is>
      </c>
      <c r="K1" s="1" t="inlineStr">
        <is>
          <t>Formation Time (hh:mm:ss)</t>
        </is>
      </c>
      <c r="L1" s="1" t="inlineStr">
        <is>
          <t>Pre-OBTP Wait (hh:mm:ss)</t>
        </is>
      </c>
      <c r="M1" s="1" t="inlineStr">
        <is>
          <t>Gate Wait (hh:mm:ss)</t>
        </is>
      </c>
      <c r="N1" s="1" t="inlineStr">
        <is>
          <t>OBT Total on Classif Track (hh:mm:ss)</t>
        </is>
      </c>
    </row>
    <row r="2">
      <c r="A2" s="3" t="inlineStr">
        <is>
          <t>OBT060125052942-Ljubljana</t>
        </is>
      </c>
      <c r="B2" s="3" t="inlineStr">
        <is>
          <t>Ljubljana</t>
        </is>
      </c>
      <c r="C2" s="3" t="inlineStr">
        <is>
          <t>615</t>
        </is>
      </c>
      <c r="D2" s="3" t="n">
        <v>2</v>
      </c>
      <c r="E2" s="10" t="n">
        <v>45663.21814814815</v>
      </c>
      <c r="F2" s="10" t="n">
        <v>45663.22895833333</v>
      </c>
      <c r="G2" s="10" t="n">
        <v>45663.23068287037</v>
      </c>
      <c r="H2" s="10" t="n">
        <v>45663.25012731482</v>
      </c>
      <c r="I2" s="10" t="n">
        <v>45663.25012731482</v>
      </c>
      <c r="J2" s="10" t="n">
        <v>45663.25084490741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IF(AND(ISNUMBER(E2),ISNUMBER(J2)),(J2-E2),"")</f>
        <v/>
      </c>
    </row>
    <row r="3">
      <c r="A3" s="3" t="inlineStr">
        <is>
          <t>OBT060125053957-Graz</t>
        </is>
      </c>
      <c r="B3" s="3" t="inlineStr">
        <is>
          <t>Graz</t>
        </is>
      </c>
      <c r="C3" s="3" t="inlineStr">
        <is>
          <t>627</t>
        </is>
      </c>
      <c r="D3" s="3" t="n">
        <v>2</v>
      </c>
      <c r="E3" s="10" t="n">
        <v>45663.2237962963</v>
      </c>
      <c r="F3" s="10" t="n">
        <v>45663.23607638889</v>
      </c>
      <c r="G3" s="10" t="n">
        <v>45663.23690972223</v>
      </c>
      <c r="H3" s="10" t="n">
        <v>45663.25635416667</v>
      </c>
      <c r="I3" s="10" t="n">
        <v>45663.25635416667</v>
      </c>
      <c r="J3" s="10" t="n">
        <v>45663.25700231481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IF(AND(ISNUMBER(E3),ISNUMBER(J3)),(J3-E3),"")</f>
        <v/>
      </c>
    </row>
    <row r="4">
      <c r="A4" s="3" t="inlineStr">
        <is>
          <t>OBT060125080833-Innsbruck</t>
        </is>
      </c>
      <c r="B4" s="3" t="inlineStr">
        <is>
          <t>Innsbruck</t>
        </is>
      </c>
      <c r="C4" s="3" t="inlineStr">
        <is>
          <t>615</t>
        </is>
      </c>
      <c r="D4" s="3" t="n">
        <v>3</v>
      </c>
      <c r="E4" s="10" t="n">
        <v>45663.3221412037</v>
      </c>
      <c r="F4" s="10" t="n">
        <v>45663.33927083333</v>
      </c>
      <c r="G4" s="10" t="n">
        <v>45663.34013888889</v>
      </c>
      <c r="H4" s="10" t="n">
        <v>45663.36791666667</v>
      </c>
      <c r="I4" s="10" t="n">
        <v>45663.36791666667</v>
      </c>
      <c r="J4" s="10" t="n">
        <v>45663.36876157407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IF(AND(ISNUMBER(E4),ISNUMBER(J4)),(J4-E4),"")</f>
        <v/>
      </c>
    </row>
    <row r="5">
      <c r="A5" s="3" t="inlineStr">
        <is>
          <t>OBT060125151513-Graz</t>
        </is>
      </c>
      <c r="B5" s="3" t="inlineStr">
        <is>
          <t>Graz</t>
        </is>
      </c>
      <c r="C5" s="3" t="inlineStr">
        <is>
          <t>605</t>
        </is>
      </c>
      <c r="D5" s="3" t="n">
        <v>3</v>
      </c>
      <c r="E5" s="10" t="n">
        <v>45663.22773148148</v>
      </c>
      <c r="F5" s="10" t="n">
        <v>45663.63556712963</v>
      </c>
      <c r="G5" s="10" t="n">
        <v>45663.63643518519</v>
      </c>
      <c r="H5" s="10" t="n">
        <v>45663.65865740741</v>
      </c>
      <c r="I5" s="10" t="n">
        <v>45663.65865740741</v>
      </c>
      <c r="J5" s="10" t="n">
        <v>45663.65954861111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IF(AND(ISNUMBER(E5),ISNUMBER(J5)),(J5-E5),"")</f>
        <v/>
      </c>
    </row>
    <row r="6">
      <c r="A6" s="3" t="inlineStr">
        <is>
          <t>OBT060125152158-Salzburg</t>
        </is>
      </c>
      <c r="B6" s="3" t="inlineStr">
        <is>
          <t>Salzburg</t>
        </is>
      </c>
      <c r="C6" s="3" t="inlineStr">
        <is>
          <t>615</t>
        </is>
      </c>
      <c r="D6" s="3" t="n">
        <v>4</v>
      </c>
      <c r="E6" s="10" t="n">
        <v>45663.47741898148</v>
      </c>
      <c r="F6" s="10" t="n">
        <v>45663.64025462963</v>
      </c>
      <c r="G6" s="10" t="n">
        <v>45663.64112268519</v>
      </c>
      <c r="H6" s="10" t="n">
        <v>45663.67167824074</v>
      </c>
      <c r="I6" s="10" t="n">
        <v>45663.67167824074</v>
      </c>
      <c r="J6" s="10" t="n">
        <v>45663.67255787037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IF(AND(ISNUMBER(E6),ISNUMBER(J6)),(J6-E6),"")</f>
        <v/>
      </c>
    </row>
    <row r="7">
      <c r="A7" s="3" t="inlineStr">
        <is>
          <t>OBT070125062515-Linz</t>
        </is>
      </c>
      <c r="B7" s="3" t="inlineStr">
        <is>
          <t>Linz</t>
        </is>
      </c>
      <c r="C7" s="3" t="inlineStr">
        <is>
          <t>613</t>
        </is>
      </c>
      <c r="D7" s="3" t="n">
        <v>3</v>
      </c>
      <c r="E7" s="10" t="n">
        <v>45663.21957175926</v>
      </c>
      <c r="F7" s="10" t="n">
        <v>45664.26753472222</v>
      </c>
      <c r="G7" s="10" t="n">
        <v>45664.26837962963</v>
      </c>
      <c r="H7" s="10" t="n">
        <v>45664.29337962963</v>
      </c>
      <c r="I7" s="10" t="n">
        <v>45664.29337962963</v>
      </c>
      <c r="J7" s="10" t="n">
        <v>45664.29414351852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IF(AND(ISNUMBER(E7),ISNUMBER(J7)),(J7-E7),"")</f>
        <v/>
      </c>
    </row>
    <row r="8">
      <c r="A8" s="3" t="inlineStr">
        <is>
          <t>OBT070125064013-Ljubljana</t>
        </is>
      </c>
      <c r="B8" s="3" t="inlineStr">
        <is>
          <t>Ljubljana</t>
        </is>
      </c>
      <c r="C8" s="3" t="inlineStr">
        <is>
          <t>625</t>
        </is>
      </c>
      <c r="D8" s="3" t="n">
        <v>3</v>
      </c>
      <c r="E8" s="10" t="n">
        <v>45663.22597222222</v>
      </c>
      <c r="F8" s="10" t="n">
        <v>45664.27792824074</v>
      </c>
      <c r="G8" s="10" t="n">
        <v>45664.28612268518</v>
      </c>
      <c r="H8" s="10" t="n">
        <v>45664.31945601852</v>
      </c>
      <c r="I8" s="10" t="n">
        <v>45664.31945601852</v>
      </c>
      <c r="J8" s="10" t="n">
        <v>45664.32040509259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IF(AND(ISNUMBER(E8),ISNUMBER(J8)),(J8-E8),"")</f>
        <v/>
      </c>
    </row>
    <row r="9">
      <c r="A9" s="3" t="inlineStr">
        <is>
          <t>OBT070125064725-Vienna</t>
        </is>
      </c>
      <c r="B9" s="3" t="inlineStr">
        <is>
          <t>Vienna</t>
        </is>
      </c>
      <c r="C9" s="3" t="inlineStr">
        <is>
          <t>615</t>
        </is>
      </c>
      <c r="D9" s="3" t="n">
        <v>2</v>
      </c>
      <c r="E9" s="10" t="n">
        <v>45664.2690162037</v>
      </c>
      <c r="F9" s="10" t="n">
        <v>45664.28292824074</v>
      </c>
      <c r="G9" s="10" t="n">
        <v>45664.29607638889</v>
      </c>
      <c r="H9" s="10" t="n">
        <v>45664.31829861111</v>
      </c>
      <c r="I9" s="10" t="n">
        <v>45664.31829861111</v>
      </c>
      <c r="J9" s="10" t="n">
        <v>45664.3190625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IF(AND(ISNUMBER(E9),ISNUMBER(J9)),(J9-E9),"")</f>
        <v/>
      </c>
    </row>
    <row r="10">
      <c r="A10" s="3" t="inlineStr">
        <is>
          <t>OBT070125065726-Vienna</t>
        </is>
      </c>
      <c r="B10" s="3" t="inlineStr">
        <is>
          <t>Vienna</t>
        </is>
      </c>
      <c r="C10" s="3" t="inlineStr">
        <is>
          <t>605</t>
        </is>
      </c>
      <c r="D10" s="3" t="n">
        <v>2</v>
      </c>
      <c r="E10" s="10" t="n">
        <v>45664.27630787037</v>
      </c>
      <c r="F10" s="10" t="n">
        <v>45664.28988425926</v>
      </c>
      <c r="G10" s="10" t="n">
        <v>45664.31993055555</v>
      </c>
      <c r="H10" s="10" t="n">
        <v>45664.34493055556</v>
      </c>
      <c r="I10" s="10" t="n">
        <v>45664.34493055556</v>
      </c>
      <c r="J10" s="10" t="n">
        <v>45664.34585648148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IF(AND(ISNUMBER(E10),ISNUMBER(J10)),(J10-E10),"")</f>
        <v/>
      </c>
    </row>
    <row r="11">
      <c r="A11" s="3" t="inlineStr">
        <is>
          <t>OBT070125070322-Graz</t>
        </is>
      </c>
      <c r="B11" s="3" t="inlineStr">
        <is>
          <t>Graz</t>
        </is>
      </c>
      <c r="C11" s="3" t="inlineStr">
        <is>
          <t>627</t>
        </is>
      </c>
      <c r="D11" s="3" t="n">
        <v>2</v>
      </c>
      <c r="E11" s="10" t="n">
        <v>45664.27836805556</v>
      </c>
      <c r="F11" s="10" t="n">
        <v>45664.29400462963</v>
      </c>
      <c r="G11" s="10" t="n">
        <v>45664.32109953704</v>
      </c>
      <c r="H11" s="10" t="n">
        <v>45664.34054398148</v>
      </c>
      <c r="I11" s="10" t="n">
        <v>45664.34054398148</v>
      </c>
      <c r="J11" s="10" t="n">
        <v>45664.34119212963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IF(AND(ISNUMBER(E11),ISNUMBER(J11)),(J11-E11),"")</f>
        <v/>
      </c>
    </row>
    <row r="12">
      <c r="A12" s="3" t="inlineStr">
        <is>
          <t>OBT070125073416-Graz</t>
        </is>
      </c>
      <c r="B12" s="3" t="inlineStr">
        <is>
          <t>Graz</t>
        </is>
      </c>
      <c r="C12" s="3" t="inlineStr">
        <is>
          <t>606</t>
        </is>
      </c>
      <c r="D12" s="3" t="n">
        <v>3</v>
      </c>
      <c r="E12" s="10" t="n">
        <v>45664.28900462963</v>
      </c>
      <c r="F12" s="10" t="n">
        <v>45664.31546296296</v>
      </c>
      <c r="G12" s="10" t="n">
        <v>45664.32537037037</v>
      </c>
      <c r="H12" s="10" t="n">
        <v>45664.35037037037</v>
      </c>
      <c r="I12" s="10" t="n">
        <v>45664.35037037037</v>
      </c>
      <c r="J12" s="10" t="n">
        <v>45664.35121527778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IF(AND(ISNUMBER(E12),ISNUMBER(J12)),(J12-E12),"")</f>
        <v/>
      </c>
    </row>
    <row r="13">
      <c r="A13" s="3" t="inlineStr">
        <is>
          <t>OBT070125074604-Salzburg</t>
        </is>
      </c>
      <c r="B13" s="3" t="inlineStr">
        <is>
          <t>Salzburg</t>
        </is>
      </c>
      <c r="C13" s="3" t="inlineStr">
        <is>
          <t>623</t>
        </is>
      </c>
      <c r="D13" s="3" t="n">
        <v>3</v>
      </c>
      <c r="E13" s="10" t="n">
        <v>45664.28719907408</v>
      </c>
      <c r="F13" s="10" t="n">
        <v>45664.32365740741</v>
      </c>
      <c r="G13" s="10" t="n">
        <v>45664.34228009259</v>
      </c>
      <c r="H13" s="10" t="n">
        <v>45664.36728009259</v>
      </c>
      <c r="I13" s="10" t="n">
        <v>45664.36728009259</v>
      </c>
      <c r="J13" s="10" t="n">
        <v>45664.36814814815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IF(AND(ISNUMBER(E13),ISNUMBER(J13)),(J13-E13),"")</f>
        <v/>
      </c>
    </row>
    <row r="14">
      <c r="A14" s="3" t="inlineStr">
        <is>
          <t>OBT070125133255-Linz</t>
        </is>
      </c>
      <c r="B14" s="3" t="inlineStr">
        <is>
          <t>Linz</t>
        </is>
      </c>
      <c r="C14" s="3" t="inlineStr">
        <is>
          <t>615</t>
        </is>
      </c>
      <c r="D14" s="3" t="n">
        <v>3</v>
      </c>
      <c r="E14" s="10" t="n">
        <v>45664.55061342593</v>
      </c>
      <c r="F14" s="10" t="n">
        <v>45664.56452546296</v>
      </c>
      <c r="G14" s="10" t="n">
        <v>45664.56537037037</v>
      </c>
      <c r="H14" s="10" t="n">
        <v>45664.58759259259</v>
      </c>
      <c r="I14" s="10" t="n">
        <v>45664.58759259259</v>
      </c>
      <c r="J14" s="10" t="n">
        <v>45664.58835648148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IF(AND(ISNUMBER(E14),ISNUMBER(J14)),(J14-E14),"")</f>
        <v/>
      </c>
    </row>
    <row r="15">
      <c r="A15" s="3" t="inlineStr">
        <is>
          <t>OBT070125170022-Vienna</t>
        </is>
      </c>
      <c r="B15" s="3" t="inlineStr">
        <is>
          <t>Vienna</t>
        </is>
      </c>
      <c r="C15" s="3" t="inlineStr">
        <is>
          <t>619</t>
        </is>
      </c>
      <c r="D15" s="3" t="n">
        <v>5</v>
      </c>
      <c r="E15" s="10" t="n">
        <v>45664.29391203704</v>
      </c>
      <c r="F15" s="10" t="n">
        <v>45664.70858796296</v>
      </c>
      <c r="G15" s="10" t="n">
        <v>45664.70945601852</v>
      </c>
      <c r="H15" s="10" t="n">
        <v>45664.74001157407</v>
      </c>
      <c r="I15" s="10" t="n">
        <v>45664.74001157407</v>
      </c>
      <c r="J15" s="10" t="n">
        <v>45664.74097222222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IF(AND(ISNUMBER(E15),ISNUMBER(J15)),(J15-E15),"")</f>
        <v/>
      </c>
    </row>
    <row r="16">
      <c r="A16" s="3" t="inlineStr">
        <is>
          <t>OBT080125061351-Vienna</t>
        </is>
      </c>
      <c r="B16" s="3" t="inlineStr">
        <is>
          <t>Vienna</t>
        </is>
      </c>
      <c r="C16" s="3" t="inlineStr">
        <is>
          <t>613</t>
        </is>
      </c>
      <c r="D16" s="3" t="n">
        <v>3</v>
      </c>
      <c r="E16" s="10" t="n">
        <v>45664.84306712963</v>
      </c>
      <c r="F16" s="10" t="n">
        <v>45665.25961805556</v>
      </c>
      <c r="G16" s="10" t="n">
        <v>45665.26048611111</v>
      </c>
      <c r="H16" s="10" t="n">
        <v>45665.28270833333</v>
      </c>
      <c r="I16" s="10" t="n">
        <v>45665.28270833333</v>
      </c>
      <c r="J16" s="10" t="n">
        <v>45665.2834375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IF(AND(ISNUMBER(E16),ISNUMBER(J16)),(J16-E16),"")</f>
        <v/>
      </c>
    </row>
    <row r="17">
      <c r="A17" s="3" t="inlineStr">
        <is>
          <t>OBT080125061853-Salzburg</t>
        </is>
      </c>
      <c r="B17" s="3" t="inlineStr">
        <is>
          <t>Salzburg</t>
        </is>
      </c>
      <c r="C17" s="3" t="inlineStr">
        <is>
          <t>615</t>
        </is>
      </c>
      <c r="D17" s="3" t="n">
        <v>3</v>
      </c>
      <c r="E17" s="10" t="n">
        <v>45664.84140046296</v>
      </c>
      <c r="F17" s="10" t="n">
        <v>45665.26311342593</v>
      </c>
      <c r="G17" s="10" t="n">
        <v>45665.26398148148</v>
      </c>
      <c r="H17" s="10" t="n">
        <v>45665.2862037037</v>
      </c>
      <c r="I17" s="10" t="n">
        <v>45665.2862037037</v>
      </c>
      <c r="J17" s="10" t="n">
        <v>45665.28695601852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IF(AND(ISNUMBER(E17),ISNUMBER(J17)),(J17-E17),"")</f>
        <v/>
      </c>
    </row>
    <row r="18">
      <c r="A18" s="3" t="inlineStr">
        <is>
          <t>OBT080125094940-Budapest</t>
        </is>
      </c>
      <c r="B18" s="3" t="inlineStr">
        <is>
          <t>Budapest</t>
        </is>
      </c>
      <c r="C18" s="3" t="inlineStr">
        <is>
          <t>625</t>
        </is>
      </c>
      <c r="D18" s="3" t="n">
        <v>5</v>
      </c>
      <c r="E18" s="10" t="n">
        <v>45665.24133101852</v>
      </c>
      <c r="F18" s="10" t="n">
        <v>45665.40949074074</v>
      </c>
      <c r="G18" s="10" t="n">
        <v>45665.4103587963</v>
      </c>
      <c r="H18" s="10" t="n">
        <v>45665.44091435185</v>
      </c>
      <c r="I18" s="10" t="n">
        <v>45665.44091435185</v>
      </c>
      <c r="J18" s="10" t="n">
        <v>45665.44181712963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IF(AND(ISNUMBER(E18),ISNUMBER(J18)),(J18-E18),"")</f>
        <v/>
      </c>
    </row>
    <row r="19">
      <c r="A19" s="3" t="inlineStr">
        <is>
          <t>OBT080125095423-Graz</t>
        </is>
      </c>
      <c r="B19" s="3" t="inlineStr">
        <is>
          <t>Graz</t>
        </is>
      </c>
      <c r="C19" s="3" t="inlineStr">
        <is>
          <t>605</t>
        </is>
      </c>
      <c r="D19" s="3" t="n">
        <v>5</v>
      </c>
      <c r="E19" s="10" t="n">
        <v>45665.24407407407</v>
      </c>
      <c r="F19" s="10" t="n">
        <v>45665.41276620371</v>
      </c>
      <c r="G19" s="10" t="n">
        <v>45665.41447916667</v>
      </c>
      <c r="H19" s="10" t="n">
        <v>45665.45614583333</v>
      </c>
      <c r="I19" s="10" t="n">
        <v>45665.45614583333</v>
      </c>
      <c r="J19" s="10" t="n">
        <v>45665.45729166667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IF(AND(ISNUMBER(E19),ISNUMBER(J19)),(J19-E19),"")</f>
        <v/>
      </c>
    </row>
    <row r="20">
      <c r="A20" s="3" t="inlineStr">
        <is>
          <t>OBT080125101213-Vienna</t>
        </is>
      </c>
      <c r="B20" s="3" t="inlineStr">
        <is>
          <t>Vienna</t>
        </is>
      </c>
      <c r="C20" s="3" t="inlineStr">
        <is>
          <t>623</t>
        </is>
      </c>
      <c r="D20" s="3" t="n">
        <v>3</v>
      </c>
      <c r="E20" s="10" t="n">
        <v>45665.40802083333</v>
      </c>
      <c r="F20" s="10" t="n">
        <v>45665.42515046296</v>
      </c>
      <c r="G20" s="10" t="n">
        <v>45665.42962962963</v>
      </c>
      <c r="H20" s="10" t="n">
        <v>45665.4574074074</v>
      </c>
      <c r="I20" s="10" t="n">
        <v>45665.4574074074</v>
      </c>
      <c r="J20" s="10" t="n">
        <v>45665.45832175926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IF(AND(ISNUMBER(E20),ISNUMBER(J20)),(J20-E20),"")</f>
        <v/>
      </c>
    </row>
    <row r="21">
      <c r="A21" s="3" t="inlineStr">
        <is>
          <t>OBT080125101621-Graz</t>
        </is>
      </c>
      <c r="B21" s="3" t="inlineStr">
        <is>
          <t>Graz</t>
        </is>
      </c>
      <c r="C21" s="3" t="inlineStr">
        <is>
          <t>619</t>
        </is>
      </c>
      <c r="D21" s="3" t="n">
        <v>3</v>
      </c>
      <c r="E21" s="10" t="n">
        <v>45665.41243055555</v>
      </c>
      <c r="F21" s="10" t="n">
        <v>45665.42802083334</v>
      </c>
      <c r="G21" s="10" t="n">
        <v>45665.4578587963</v>
      </c>
      <c r="H21" s="10" t="n">
        <v>45665.48563657407</v>
      </c>
      <c r="I21" s="10" t="n">
        <v>45665.48563657407</v>
      </c>
      <c r="J21" s="10" t="n">
        <v>45665.48655092593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IF(AND(ISNUMBER(E21),ISNUMBER(J21)),(J21-E21),"")</f>
        <v/>
      </c>
    </row>
    <row r="22">
      <c r="A22" s="3" t="inlineStr">
        <is>
          <t>OBT080125111223-Budapest</t>
        </is>
      </c>
      <c r="B22" s="3" t="inlineStr">
        <is>
          <t>Budapest</t>
        </is>
      </c>
      <c r="C22" s="3" t="inlineStr">
        <is>
          <t>613</t>
        </is>
      </c>
      <c r="D22" s="3" t="n">
        <v>4</v>
      </c>
      <c r="E22" s="10" t="n">
        <v>45665.40592592592</v>
      </c>
      <c r="F22" s="10" t="n">
        <v>45665.46693287037</v>
      </c>
      <c r="G22" s="10" t="n">
        <v>45665.46776620371</v>
      </c>
      <c r="H22" s="10" t="n">
        <v>45665.50387731481</v>
      </c>
      <c r="I22" s="10" t="n">
        <v>45665.50387731481</v>
      </c>
      <c r="J22" s="10" t="n">
        <v>45665.50479166667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IF(AND(ISNUMBER(E22),ISNUMBER(J22)),(J22-E22),"")</f>
        <v/>
      </c>
    </row>
    <row r="23">
      <c r="A23" s="3" t="inlineStr">
        <is>
          <t>OBT080125144107-Salzburg</t>
        </is>
      </c>
      <c r="B23" s="3" t="inlineStr">
        <is>
          <t>Salzburg</t>
        </is>
      </c>
      <c r="C23" s="3" t="inlineStr">
        <is>
          <t>606</t>
        </is>
      </c>
      <c r="D23" s="3" t="n">
        <v>2</v>
      </c>
      <c r="E23" s="10" t="n">
        <v>45665.43265046296</v>
      </c>
      <c r="F23" s="10" t="n">
        <v>45665.61188657407</v>
      </c>
      <c r="G23" s="10" t="n">
        <v>45665.61273148148</v>
      </c>
      <c r="H23" s="10" t="n">
        <v>45665.6349537037</v>
      </c>
      <c r="I23" s="10" t="n">
        <v>45665.6349537037</v>
      </c>
      <c r="J23" s="10" t="n">
        <v>45665.63575231482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IF(AND(ISNUMBER(E23),ISNUMBER(J23)),(J23-E23),"")</f>
        <v/>
      </c>
    </row>
    <row r="24">
      <c r="A24" s="3" t="inlineStr">
        <is>
          <t>OBT080125145710-Innsbruck</t>
        </is>
      </c>
      <c r="B24" s="3" t="inlineStr">
        <is>
          <t>Innsbruck</t>
        </is>
      </c>
      <c r="C24" s="3" t="inlineStr">
        <is>
          <t>615</t>
        </is>
      </c>
      <c r="D24" s="3" t="n">
        <v>3</v>
      </c>
      <c r="E24" s="10" t="n">
        <v>45665.38429398148</v>
      </c>
      <c r="F24" s="10" t="n">
        <v>45665.62303240741</v>
      </c>
      <c r="G24" s="10" t="n">
        <v>45665.62390046296</v>
      </c>
      <c r="H24" s="10" t="n">
        <v>45665.64890046296</v>
      </c>
      <c r="I24" s="10" t="n">
        <v>45665.64890046296</v>
      </c>
      <c r="J24" s="10" t="n">
        <v>45665.64969907407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IF(AND(ISNUMBER(E24),ISNUMBER(J24)),(J24-E24),"")</f>
        <v/>
      </c>
    </row>
    <row r="25">
      <c r="A25" s="3" t="inlineStr">
        <is>
          <t>OBT080125183013-Graz</t>
        </is>
      </c>
      <c r="B25" s="3" t="inlineStr">
        <is>
          <t>Graz</t>
        </is>
      </c>
      <c r="C25" s="3" t="inlineStr">
        <is>
          <t>615</t>
        </is>
      </c>
      <c r="D25" s="3" t="n">
        <v>2</v>
      </c>
      <c r="E25" s="10" t="n">
        <v>45665.75873842592</v>
      </c>
      <c r="F25" s="10" t="n">
        <v>45665.7709837963</v>
      </c>
      <c r="G25" s="10" t="n">
        <v>45665.77182870371</v>
      </c>
      <c r="H25" s="10" t="n">
        <v>45665.79127314815</v>
      </c>
      <c r="I25" s="10" t="n">
        <v>45665.79127314815</v>
      </c>
      <c r="J25" s="10" t="n">
        <v>45665.79200231482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IF(AND(ISNUMBER(E25),ISNUMBER(J25)),(J25-E25),"")</f>
        <v/>
      </c>
    </row>
    <row r="26">
      <c r="A26" s="3" t="inlineStr">
        <is>
          <t>OBT080125222429-Budapest</t>
        </is>
      </c>
      <c r="B26" s="3" t="inlineStr">
        <is>
          <t>Budapest</t>
        </is>
      </c>
      <c r="C26" s="3" t="inlineStr">
        <is>
          <t>615</t>
        </is>
      </c>
      <c r="D26" s="3" t="n">
        <v>5</v>
      </c>
      <c r="E26" s="10" t="n">
        <v>45665.90674768519</v>
      </c>
      <c r="F26" s="10" t="n">
        <v>45665.93366898148</v>
      </c>
      <c r="G26" s="10" t="n">
        <v>45665.93450231481</v>
      </c>
      <c r="H26" s="10" t="n">
        <v>45665.97894675926</v>
      </c>
      <c r="I26" s="10" t="n">
        <v>45665.97894675926</v>
      </c>
      <c r="J26" s="10" t="n">
        <v>45665.98001157407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IF(AND(ISNUMBER(E26),ISNUMBER(J26)),(J26-E26),"")</f>
        <v/>
      </c>
    </row>
    <row r="27">
      <c r="A27" s="3" t="inlineStr">
        <is>
          <t>OBT090125054651-Salzburg</t>
        </is>
      </c>
      <c r="B27" s="3" t="inlineStr">
        <is>
          <t>Salzburg</t>
        </is>
      </c>
      <c r="C27" s="3" t="inlineStr">
        <is>
          <t>615</t>
        </is>
      </c>
      <c r="D27" s="3" t="n">
        <v>3</v>
      </c>
      <c r="E27" s="10" t="n">
        <v>45666.21719907408</v>
      </c>
      <c r="F27" s="10" t="n">
        <v>45666.24086805555</v>
      </c>
      <c r="G27" s="10" t="n">
        <v>45666.24256944445</v>
      </c>
      <c r="H27" s="10" t="n">
        <v>45666.26756944445</v>
      </c>
      <c r="I27" s="10" t="n">
        <v>45666.26756944445</v>
      </c>
      <c r="J27" s="10" t="n">
        <v>45666.26836805556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IF(AND(ISNUMBER(E27),ISNUMBER(J27)),(J27-E27),"")</f>
        <v/>
      </c>
    </row>
    <row r="28">
      <c r="A28" s="3" t="inlineStr">
        <is>
          <t>OBT090125055020-Vienna</t>
        </is>
      </c>
      <c r="B28" s="3" t="inlineStr">
        <is>
          <t>Vienna</t>
        </is>
      </c>
      <c r="C28" s="3" t="inlineStr">
        <is>
          <t>625</t>
        </is>
      </c>
      <c r="D28" s="3" t="n">
        <v>3</v>
      </c>
      <c r="E28" s="10" t="n">
        <v>45666.22451388889</v>
      </c>
      <c r="F28" s="10" t="n">
        <v>45666.24328703704</v>
      </c>
      <c r="G28" s="10" t="n">
        <v>45666.24574074074</v>
      </c>
      <c r="H28" s="10" t="n">
        <v>45666.2762962963</v>
      </c>
      <c r="I28" s="10" t="n">
        <v>45666.2762962963</v>
      </c>
      <c r="J28" s="10" t="n">
        <v>45666.27719907407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IF(AND(ISNUMBER(E28),ISNUMBER(J28)),(J28-E28),"")</f>
        <v/>
      </c>
    </row>
    <row r="29">
      <c r="A29" s="3" t="inlineStr">
        <is>
          <t>OBT090125062427-Graz</t>
        </is>
      </c>
      <c r="B29" s="3" t="inlineStr">
        <is>
          <t>Graz</t>
        </is>
      </c>
      <c r="C29" s="3" t="inlineStr">
        <is>
          <t>605</t>
        </is>
      </c>
      <c r="D29" s="3" t="n">
        <v>5</v>
      </c>
      <c r="E29" s="10" t="n">
        <v>45666.23449074074</v>
      </c>
      <c r="F29" s="10" t="n">
        <v>45666.26697916666</v>
      </c>
      <c r="G29" s="10" t="n">
        <v>45666.27815972222</v>
      </c>
      <c r="H29" s="10" t="n">
        <v>45666.31704861111</v>
      </c>
      <c r="I29" s="10" t="n">
        <v>45666.31704861111</v>
      </c>
      <c r="J29" s="10" t="n">
        <v>45666.3181712963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IF(AND(ISNUMBER(E29),ISNUMBER(J29)),(J29-E29),"")</f>
        <v/>
      </c>
    </row>
    <row r="30">
      <c r="A30" s="3" t="inlineStr">
        <is>
          <t>OBT090125062930-Linz</t>
        </is>
      </c>
      <c r="B30" s="3" t="inlineStr">
        <is>
          <t>Linz</t>
        </is>
      </c>
      <c r="C30" s="3" t="inlineStr">
        <is>
          <t>613</t>
        </is>
      </c>
      <c r="D30" s="3" t="n">
        <v>5</v>
      </c>
      <c r="E30" s="10" t="n">
        <v>45666.21850694445</v>
      </c>
      <c r="F30" s="10" t="n">
        <v>45666.27048611111</v>
      </c>
      <c r="G30" s="10" t="n">
        <v>45666.28016203704</v>
      </c>
      <c r="H30" s="10" t="n">
        <v>45666.3218287037</v>
      </c>
      <c r="I30" s="10" t="n">
        <v>45666.3218287037</v>
      </c>
      <c r="J30" s="10" t="n">
        <v>45666.3228125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IF(AND(ISNUMBER(E30),ISNUMBER(J30)),(J30-E30),"")</f>
        <v/>
      </c>
    </row>
    <row r="31">
      <c r="A31" s="3" t="inlineStr">
        <is>
          <t>OBT090125064941-Vienna</t>
        </is>
      </c>
      <c r="B31" s="3" t="inlineStr">
        <is>
          <t>Vienna</t>
        </is>
      </c>
      <c r="C31" s="3" t="inlineStr">
        <is>
          <t>607</t>
        </is>
      </c>
      <c r="D31" s="3" t="n">
        <v>2</v>
      </c>
      <c r="E31" s="10" t="n">
        <v>45666.2546412037</v>
      </c>
      <c r="F31" s="10" t="n">
        <v>45666.28450231482</v>
      </c>
      <c r="G31" s="10" t="n">
        <v>45666.28721064814</v>
      </c>
      <c r="H31" s="10" t="n">
        <v>45666.30943287037</v>
      </c>
      <c r="I31" s="10" t="n">
        <v>45666.30943287037</v>
      </c>
      <c r="J31" s="10" t="n">
        <v>45666.31032407407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IF(AND(ISNUMBER(E31),ISNUMBER(J31)),(J31-E31),"")</f>
        <v/>
      </c>
    </row>
    <row r="32">
      <c r="A32" s="3" t="inlineStr">
        <is>
          <t>OBT090125065110-Vienna</t>
        </is>
      </c>
      <c r="B32" s="3" t="inlineStr">
        <is>
          <t>Vienna</t>
        </is>
      </c>
      <c r="C32" s="3" t="inlineStr">
        <is>
          <t>623</t>
        </is>
      </c>
      <c r="D32" s="3" t="n">
        <v>3</v>
      </c>
      <c r="E32" s="10" t="n">
        <v>45666.25005787037</v>
      </c>
      <c r="F32" s="10" t="n">
        <v>45666.2855324074</v>
      </c>
      <c r="G32" s="10" t="n">
        <v>45666.31111111111</v>
      </c>
      <c r="H32" s="10" t="n">
        <v>45666.33888888889</v>
      </c>
      <c r="I32" s="10" t="n">
        <v>45666.33888888889</v>
      </c>
      <c r="J32" s="10" t="n">
        <v>45666.33979166667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IF(AND(ISNUMBER(E32),ISNUMBER(J32)),(J32-E32),"")</f>
        <v/>
      </c>
    </row>
    <row r="33">
      <c r="A33" s="3" t="inlineStr">
        <is>
          <t>OBT090125113246-Budapest</t>
        </is>
      </c>
      <c r="B33" s="3" t="inlineStr">
        <is>
          <t>Budapest</t>
        </is>
      </c>
      <c r="C33" s="3" t="inlineStr">
        <is>
          <t>615</t>
        </is>
      </c>
      <c r="D33" s="3" t="n">
        <v>3</v>
      </c>
      <c r="E33" s="10" t="n">
        <v>45666.46722222222</v>
      </c>
      <c r="F33" s="10" t="n">
        <v>45666.48108796297</v>
      </c>
      <c r="G33" s="10" t="n">
        <v>45666.48195601852</v>
      </c>
      <c r="H33" s="10" t="n">
        <v>45666.50417824074</v>
      </c>
      <c r="I33" s="10" t="n">
        <v>45666.50417824074</v>
      </c>
      <c r="J33" s="10" t="n">
        <v>45666.50494212963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IF(AND(ISNUMBER(E33),ISNUMBER(J33)),(J33-E33),"")</f>
        <v/>
      </c>
    </row>
    <row r="34">
      <c r="A34" s="3" t="inlineStr">
        <is>
          <t>OBT090125114855-Salzburg</t>
        </is>
      </c>
      <c r="B34" s="3" t="inlineStr">
        <is>
          <t>Salzburg</t>
        </is>
      </c>
      <c r="C34" s="3" t="inlineStr">
        <is>
          <t>613</t>
        </is>
      </c>
      <c r="D34" s="3" t="n">
        <v>4</v>
      </c>
      <c r="E34" s="10" t="n">
        <v>45666.46854166667</v>
      </c>
      <c r="F34" s="10" t="n">
        <v>45666.49230324074</v>
      </c>
      <c r="G34" s="10" t="n">
        <v>45666.49313657408</v>
      </c>
      <c r="H34" s="10" t="n">
        <v>45666.52924768518</v>
      </c>
      <c r="I34" s="10" t="n">
        <v>45666.52924768518</v>
      </c>
      <c r="J34" s="10" t="n">
        <v>45666.53016203704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IF(AND(ISNUMBER(E34),ISNUMBER(J34)),(J34-E34),"")</f>
        <v/>
      </c>
    </row>
    <row r="35">
      <c r="A35" s="3" t="inlineStr">
        <is>
          <t>OBT090125133851-Graz</t>
        </is>
      </c>
      <c r="B35" s="3" t="inlineStr">
        <is>
          <t>Graz</t>
        </is>
      </c>
      <c r="C35" s="3" t="inlineStr">
        <is>
          <t>619</t>
        </is>
      </c>
      <c r="D35" s="3" t="n">
        <v>4</v>
      </c>
      <c r="E35" s="10" t="n">
        <v>45666.24623842593</v>
      </c>
      <c r="F35" s="10" t="n">
        <v>45666.56864583334</v>
      </c>
      <c r="G35" s="10" t="n">
        <v>45666.56949074074</v>
      </c>
      <c r="H35" s="10" t="n">
        <v>45666.59449074074</v>
      </c>
      <c r="I35" s="10" t="n">
        <v>45666.59449074074</v>
      </c>
      <c r="J35" s="10" t="n">
        <v>45666.59537037037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IF(AND(ISNUMBER(E35),ISNUMBER(J35)),(J35-E35),"")</f>
        <v/>
      </c>
    </row>
    <row r="36">
      <c r="A36" s="3" t="inlineStr">
        <is>
          <t>OBT090125134430-Vienna</t>
        </is>
      </c>
      <c r="B36" s="3" t="inlineStr">
        <is>
          <t>Vienna</t>
        </is>
      </c>
      <c r="C36" s="3" t="inlineStr">
        <is>
          <t>615</t>
        </is>
      </c>
      <c r="D36" s="3" t="n">
        <v>4</v>
      </c>
      <c r="E36" s="10" t="n">
        <v>45666.55244212963</v>
      </c>
      <c r="F36" s="10" t="n">
        <v>45666.57256944444</v>
      </c>
      <c r="G36" s="10" t="n">
        <v>45666.57422453703</v>
      </c>
      <c r="H36" s="10" t="n">
        <v>45666.6047800926</v>
      </c>
      <c r="I36" s="10" t="n">
        <v>45666.6047800926</v>
      </c>
      <c r="J36" s="10" t="n">
        <v>45666.60565972222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IF(AND(ISNUMBER(E36),ISNUMBER(J36)),(J36-E36),"")</f>
        <v/>
      </c>
    </row>
    <row r="37">
      <c r="A37" s="3" t="inlineStr">
        <is>
          <t>OBT090125134651-Budapest</t>
        </is>
      </c>
      <c r="B37" s="3" t="inlineStr">
        <is>
          <t>Budapest</t>
        </is>
      </c>
      <c r="C37" s="3" t="inlineStr">
        <is>
          <t>613</t>
        </is>
      </c>
      <c r="D37" s="3" t="n">
        <v>3</v>
      </c>
      <c r="E37" s="10" t="n">
        <v>45666.55416666667</v>
      </c>
      <c r="F37" s="10" t="n">
        <v>45666.57420138889</v>
      </c>
      <c r="G37" s="10" t="n">
        <v>45666.59717592593</v>
      </c>
      <c r="H37" s="10" t="n">
        <v>45666.63328703704</v>
      </c>
      <c r="I37" s="10" t="n">
        <v>45666.63328703704</v>
      </c>
      <c r="J37" s="10" t="n">
        <v>45666.63420138889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IF(AND(ISNUMBER(E37),ISNUMBER(J37)),(J37-E37),"")</f>
        <v/>
      </c>
    </row>
    <row r="38">
      <c r="A38" s="3" t="inlineStr">
        <is>
          <t>OBT090125135236-Linz</t>
        </is>
      </c>
      <c r="B38" s="3" t="inlineStr">
        <is>
          <t>Linz</t>
        </is>
      </c>
      <c r="C38" s="3" t="inlineStr">
        <is>
          <t>625</t>
        </is>
      </c>
      <c r="D38" s="3" t="n">
        <v>3</v>
      </c>
      <c r="E38" s="10" t="n">
        <v>45666.47282407407</v>
      </c>
      <c r="F38" s="10" t="n">
        <v>45666.57819444445</v>
      </c>
      <c r="G38" s="10" t="n">
        <v>45666.60576388889</v>
      </c>
      <c r="H38" s="10" t="n">
        <v>45666.62520833333</v>
      </c>
      <c r="I38" s="10" t="n">
        <v>45666.62520833333</v>
      </c>
      <c r="J38" s="10" t="n">
        <v>45666.62597222222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IF(AND(ISNUMBER(E38),ISNUMBER(J38)),(J38-E38),"")</f>
        <v/>
      </c>
    </row>
    <row r="39">
      <c r="A39" s="3" t="inlineStr">
        <is>
          <t>OBT090125141313-Ljubljana</t>
        </is>
      </c>
      <c r="B39" s="3" t="inlineStr">
        <is>
          <t>Ljubljana</t>
        </is>
      </c>
      <c r="C39" s="3" t="inlineStr">
        <is>
          <t>607</t>
        </is>
      </c>
      <c r="D39" s="3" t="n">
        <v>2</v>
      </c>
      <c r="E39" s="10" t="n">
        <v>45666.58023148148</v>
      </c>
      <c r="F39" s="10" t="n">
        <v>45666.59251157408</v>
      </c>
      <c r="G39" s="10" t="n">
        <v>45666.6065162037</v>
      </c>
      <c r="H39" s="10" t="n">
        <v>45666.62596064815</v>
      </c>
      <c r="I39" s="10" t="n">
        <v>45666.62597222222</v>
      </c>
      <c r="J39" s="10" t="n">
        <v>45666.62681712963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IF(AND(ISNUMBER(E39),ISNUMBER(J39)),(J39-E39),"")</f>
        <v/>
      </c>
    </row>
    <row r="40">
      <c r="A40" s="3" t="inlineStr">
        <is>
          <t>OBT090125142902-Graz</t>
        </is>
      </c>
      <c r="B40" s="3" t="inlineStr">
        <is>
          <t>Graz</t>
        </is>
      </c>
      <c r="C40" s="3" t="inlineStr">
        <is>
          <t>609</t>
        </is>
      </c>
      <c r="D40" s="3" t="n">
        <v>2</v>
      </c>
      <c r="E40" s="10" t="n">
        <v>45666.58732638889</v>
      </c>
      <c r="F40" s="10" t="n">
        <v>45666.60349537037</v>
      </c>
      <c r="G40" s="10" t="n">
        <v>45666.62694444445</v>
      </c>
      <c r="H40" s="10" t="n">
        <v>45666.64916666667</v>
      </c>
      <c r="I40" s="10" t="n">
        <v>45666.64916666667</v>
      </c>
      <c r="J40" s="10" t="n">
        <v>45666.65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IF(AND(ISNUMBER(E40),ISNUMBER(J40)),(J40-E40),"")</f>
        <v/>
      </c>
    </row>
    <row r="41">
      <c r="A41" s="3" t="inlineStr">
        <is>
          <t>OBT090125142948-Vienna</t>
        </is>
      </c>
      <c r="B41" s="3" t="inlineStr">
        <is>
          <t>Vienna</t>
        </is>
      </c>
      <c r="C41" s="3" t="inlineStr">
        <is>
          <t>623</t>
        </is>
      </c>
      <c r="D41" s="3" t="n">
        <v>2</v>
      </c>
      <c r="E41" s="10" t="n">
        <v>45666.57842592592</v>
      </c>
      <c r="F41" s="10" t="n">
        <v>45666.60402777778</v>
      </c>
      <c r="G41" s="10" t="n">
        <v>45666.62769675926</v>
      </c>
      <c r="H41" s="10" t="n">
        <v>45666.65269675926</v>
      </c>
      <c r="I41" s="10" t="n">
        <v>45666.65269675926</v>
      </c>
      <c r="J41" s="10" t="n">
        <v>45666.65357638889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IF(AND(ISNUMBER(E41),ISNUMBER(J41)),(J41-E41),"")</f>
        <v/>
      </c>
    </row>
    <row r="42">
      <c r="A42" s="3" t="inlineStr">
        <is>
          <t>OBT090125193547-Budapest</t>
        </is>
      </c>
      <c r="B42" s="3" t="inlineStr">
        <is>
          <t>Budapest</t>
        </is>
      </c>
      <c r="C42" s="3" t="inlineStr">
        <is>
          <t>615</t>
        </is>
      </c>
      <c r="D42" s="3" t="n">
        <v>2</v>
      </c>
      <c r="E42" s="10" t="n">
        <v>45666.8009837963</v>
      </c>
      <c r="F42" s="10" t="n">
        <v>45666.8165162037</v>
      </c>
      <c r="G42" s="10" t="n">
        <v>45666.81737268518</v>
      </c>
      <c r="H42" s="10" t="n">
        <v>45666.84237268518</v>
      </c>
      <c r="I42" s="10" t="n">
        <v>45666.84237268518</v>
      </c>
      <c r="J42" s="10" t="n">
        <v>45666.8431712963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IF(AND(ISNUMBER(E42),ISNUMBER(J42)),(J42-E42),"")</f>
        <v/>
      </c>
    </row>
    <row r="43">
      <c r="A43" s="3" t="inlineStr">
        <is>
          <t>OBT090125194448-Vienna</t>
        </is>
      </c>
      <c r="B43" s="3" t="inlineStr">
        <is>
          <t>Vienna</t>
        </is>
      </c>
      <c r="C43" s="3" t="inlineStr">
        <is>
          <t>613</t>
        </is>
      </c>
      <c r="D43" s="3" t="n">
        <v>3</v>
      </c>
      <c r="E43" s="10" t="n">
        <v>45666.80613425926</v>
      </c>
      <c r="F43" s="10" t="n">
        <v>45666.82277777778</v>
      </c>
      <c r="G43" s="10" t="n">
        <v>45666.82364583333</v>
      </c>
      <c r="H43" s="10" t="n">
        <v>45666.85420138889</v>
      </c>
      <c r="I43" s="10" t="n">
        <v>45666.85420138889</v>
      </c>
      <c r="J43" s="10" t="n">
        <v>45666.85503472222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IF(AND(ISNUMBER(E43),ISNUMBER(J43)),(J43-E43),"")</f>
        <v/>
      </c>
    </row>
    <row r="44">
      <c r="A44" s="3" t="inlineStr">
        <is>
          <t>OBT090125232040-Salzburg</t>
        </is>
      </c>
      <c r="B44" s="3" t="inlineStr">
        <is>
          <t>Salzburg</t>
        </is>
      </c>
      <c r="C44" s="3" t="inlineStr">
        <is>
          <t>605</t>
        </is>
      </c>
      <c r="D44" s="3" t="n">
        <v>5</v>
      </c>
      <c r="E44" s="10" t="n">
        <v>45666.56789351852</v>
      </c>
      <c r="F44" s="10" t="n">
        <v>45666.97268518519</v>
      </c>
      <c r="G44" s="10" t="n">
        <v>45666.97355324074</v>
      </c>
      <c r="H44" s="10" t="n">
        <v>45667.00688657408</v>
      </c>
      <c r="I44" s="10" t="n">
        <v>45667.00688657408</v>
      </c>
      <c r="J44" s="10" t="n">
        <v>45667.00792824074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IF(AND(ISNUMBER(E44),ISNUMBER(J44)),(J44-E44),"")</f>
        <v/>
      </c>
    </row>
    <row r="45">
      <c r="A45" s="3" t="inlineStr">
        <is>
          <t>OBT100125080623-Klagenfurt</t>
        </is>
      </c>
      <c r="B45" s="3" t="inlineStr">
        <is>
          <t>Klagenfurt</t>
        </is>
      </c>
      <c r="C45" s="3" t="inlineStr">
        <is>
          <t>627</t>
        </is>
      </c>
      <c r="D45" s="3" t="n">
        <v>3</v>
      </c>
      <c r="E45" s="10" t="n">
        <v>45665.23891203704</v>
      </c>
      <c r="F45" s="10" t="n">
        <v>45667.3377662037</v>
      </c>
      <c r="G45" s="10" t="n">
        <v>45667.33863425926</v>
      </c>
      <c r="H45" s="10" t="n">
        <v>45667.36085648148</v>
      </c>
      <c r="I45" s="10" t="n">
        <v>45667.36085648148</v>
      </c>
      <c r="J45" s="10" t="n">
        <v>45667.36155092593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IF(AND(ISNUMBER(E45),ISNUMBER(J45)),(J45-E45),"")</f>
        <v/>
      </c>
    </row>
    <row r="46">
      <c r="A46" s="3" t="inlineStr">
        <is>
          <t>OBT100125093309-Graz</t>
        </is>
      </c>
      <c r="B46" s="3" t="inlineStr">
        <is>
          <t>Graz</t>
        </is>
      </c>
      <c r="C46" s="3" t="inlineStr">
        <is>
          <t>615</t>
        </is>
      </c>
      <c r="D46" s="3" t="n">
        <v>3</v>
      </c>
      <c r="E46" s="10" t="n">
        <v>45667.30246527777</v>
      </c>
      <c r="F46" s="10" t="n">
        <v>45667.39802083333</v>
      </c>
      <c r="G46" s="10" t="n">
        <v>45667.39886574074</v>
      </c>
      <c r="H46" s="10" t="n">
        <v>45667.42386574074</v>
      </c>
      <c r="I46" s="10" t="n">
        <v>45667.42386574074</v>
      </c>
      <c r="J46" s="10" t="n">
        <v>45667.42466435185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IF(AND(ISNUMBER(E46),ISNUMBER(J46)),(J46-E46),"")</f>
        <v/>
      </c>
    </row>
    <row r="47">
      <c r="A47" s="3" t="inlineStr">
        <is>
          <t>OBT100125133454-Linz</t>
        </is>
      </c>
      <c r="B47" s="3" t="inlineStr">
        <is>
          <t>Linz</t>
        </is>
      </c>
      <c r="C47" s="3" t="inlineStr">
        <is>
          <t>615</t>
        </is>
      </c>
      <c r="D47" s="3" t="n">
        <v>3</v>
      </c>
      <c r="E47" s="10" t="n">
        <v>45667.55201388889</v>
      </c>
      <c r="F47" s="10" t="n">
        <v>45667.56590277778</v>
      </c>
      <c r="G47" s="10" t="n">
        <v>45667.56761574074</v>
      </c>
      <c r="H47" s="10" t="n">
        <v>45667.58983796297</v>
      </c>
      <c r="I47" s="10" t="n">
        <v>45667.58983796297</v>
      </c>
      <c r="J47" s="10" t="n">
        <v>45667.59060185185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IF(AND(ISNUMBER(E47),ISNUMBER(J47)),(J47-E47),"")</f>
        <v/>
      </c>
    </row>
    <row r="48">
      <c r="A48" s="3" t="inlineStr">
        <is>
          <t>OBT100125133507-Ljubljana</t>
        </is>
      </c>
      <c r="B48" s="3" t="inlineStr">
        <is>
          <t>Ljubljana</t>
        </is>
      </c>
      <c r="C48" s="3" t="inlineStr">
        <is>
          <t>625</t>
        </is>
      </c>
      <c r="D48" s="3" t="n">
        <v>3</v>
      </c>
      <c r="E48" s="10" t="n">
        <v>45666.80832175926</v>
      </c>
      <c r="F48" s="10" t="n">
        <v>45667.56605324074</v>
      </c>
      <c r="G48" s="10" t="n">
        <v>45667.56783564815</v>
      </c>
      <c r="H48" s="10" t="n">
        <v>45667.5983912037</v>
      </c>
      <c r="I48" s="10" t="n">
        <v>45667.5983912037</v>
      </c>
      <c r="J48" s="10" t="n">
        <v>45667.59930555556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IF(AND(ISNUMBER(E48),ISNUMBER(J48)),(J48-E48),"")</f>
        <v/>
      </c>
    </row>
    <row r="49">
      <c r="A49" s="3" t="inlineStr">
        <is>
          <t>OBT100125133517-Salzburg</t>
        </is>
      </c>
      <c r="B49" s="3" t="inlineStr">
        <is>
          <t>Salzburg</t>
        </is>
      </c>
      <c r="C49" s="3" t="inlineStr">
        <is>
          <t>623</t>
        </is>
      </c>
      <c r="D49" s="3" t="n">
        <v>3</v>
      </c>
      <c r="E49" s="10" t="n">
        <v>45667.32834490741</v>
      </c>
      <c r="F49" s="10" t="n">
        <v>45667.56616898148</v>
      </c>
      <c r="G49" s="10" t="n">
        <v>45667.58241898148</v>
      </c>
      <c r="H49" s="10" t="n">
        <v>45667.6046412037</v>
      </c>
      <c r="I49" s="10" t="n">
        <v>45667.6046412037</v>
      </c>
      <c r="J49" s="10" t="n">
        <v>45667.60547453703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IF(AND(ISNUMBER(E49),ISNUMBER(J49)),(J49-E49),"")</f>
        <v/>
      </c>
    </row>
    <row r="50">
      <c r="A50" s="3" t="inlineStr">
        <is>
          <t>OBT100125134146-Graz</t>
        </is>
      </c>
      <c r="B50" s="3" t="inlineStr">
        <is>
          <t>Graz</t>
        </is>
      </c>
      <c r="C50" s="3" t="inlineStr">
        <is>
          <t>619</t>
        </is>
      </c>
      <c r="D50" s="3" t="n">
        <v>3</v>
      </c>
      <c r="E50" s="10" t="n">
        <v>45667.39142361111</v>
      </c>
      <c r="F50" s="10" t="n">
        <v>45667.57067129629</v>
      </c>
      <c r="G50" s="10" t="n">
        <v>45667.59157407407</v>
      </c>
      <c r="H50" s="10" t="n">
        <v>45667.6137962963</v>
      </c>
      <c r="I50" s="10" t="n">
        <v>45667.6137962963</v>
      </c>
      <c r="J50" s="10" t="n">
        <v>45667.61464120371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IF(AND(ISNUMBER(E50),ISNUMBER(J50)),(J50-E50),"")</f>
        <v/>
      </c>
    </row>
    <row r="51">
      <c r="A51" s="3" t="inlineStr">
        <is>
          <t>OBT100125135618-Vienna</t>
        </is>
      </c>
      <c r="B51" s="3" t="inlineStr">
        <is>
          <t>Vienna</t>
        </is>
      </c>
      <c r="C51" s="3" t="inlineStr">
        <is>
          <t>605</t>
        </is>
      </c>
      <c r="D51" s="3" t="n">
        <v>3</v>
      </c>
      <c r="E51" s="10" t="n">
        <v>45667.32655092593</v>
      </c>
      <c r="F51" s="10" t="n">
        <v>45667.58076388889</v>
      </c>
      <c r="G51" s="10" t="n">
        <v>45667.60006944444</v>
      </c>
      <c r="H51" s="10" t="n">
        <v>45667.630625</v>
      </c>
      <c r="I51" s="10" t="n">
        <v>45667.630625</v>
      </c>
      <c r="J51" s="10" t="n">
        <v>45667.63162037037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IF(AND(ISNUMBER(E51),ISNUMBER(J51)),(J51-E51),"")</f>
        <v/>
      </c>
    </row>
    <row r="52">
      <c r="A52" s="3" t="inlineStr">
        <is>
          <t>OBT100125152926-Budapest</t>
        </is>
      </c>
      <c r="B52" s="3" t="inlineStr">
        <is>
          <t>Budapest</t>
        </is>
      </c>
      <c r="C52" s="3" t="inlineStr">
        <is>
          <t>613</t>
        </is>
      </c>
      <c r="D52" s="3" t="n">
        <v>3</v>
      </c>
      <c r="E52" s="10" t="n">
        <v>45667.30380787037</v>
      </c>
      <c r="F52" s="10" t="n">
        <v>45667.64543981481</v>
      </c>
      <c r="G52" s="10" t="n">
        <v>45667.64630787037</v>
      </c>
      <c r="H52" s="10" t="n">
        <v>45667.66853009259</v>
      </c>
      <c r="I52" s="10" t="n">
        <v>45667.66853009259</v>
      </c>
      <c r="J52" s="10" t="n">
        <v>45667.66924768518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IF(AND(ISNUMBER(E52),ISNUMBER(J52)),(J52-E52),"")</f>
        <v/>
      </c>
    </row>
    <row r="53">
      <c r="A53" s="3" t="inlineStr">
        <is>
          <t>OBT100125154054-Graz</t>
        </is>
      </c>
      <c r="B53" s="3" t="inlineStr">
        <is>
          <t>Graz</t>
        </is>
      </c>
      <c r="C53" s="3" t="inlineStr">
        <is>
          <t>625</t>
        </is>
      </c>
      <c r="D53" s="3" t="n">
        <v>2</v>
      </c>
      <c r="E53" s="10" t="n">
        <v>45667.63952546296</v>
      </c>
      <c r="F53" s="10" t="n">
        <v>45667.65340277777</v>
      </c>
      <c r="G53" s="10" t="n">
        <v>45667.65427083334</v>
      </c>
      <c r="H53" s="10" t="n">
        <v>45667.67649305556</v>
      </c>
      <c r="I53" s="10" t="n">
        <v>45667.67649305556</v>
      </c>
      <c r="J53" s="10" t="n">
        <v>45667.67728009259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IF(AND(ISNUMBER(E53),ISNUMBER(J53)),(J53-E53),"")</f>
        <v/>
      </c>
    </row>
    <row r="54">
      <c r="A54" s="3" t="inlineStr">
        <is>
          <t>OBT100125162009-Salzburg</t>
        </is>
      </c>
      <c r="B54" s="3" t="inlineStr">
        <is>
          <t>Salzburg</t>
        </is>
      </c>
      <c r="C54" s="3" t="inlineStr">
        <is>
          <t>605</t>
        </is>
      </c>
      <c r="D54" s="3" t="n">
        <v>3</v>
      </c>
      <c r="E54" s="10" t="n">
        <v>45667.66351851852</v>
      </c>
      <c r="F54" s="10" t="n">
        <v>45667.68065972222</v>
      </c>
      <c r="G54" s="10" t="n">
        <v>45667.68152777778</v>
      </c>
      <c r="H54" s="10" t="n">
        <v>45667.70930555555</v>
      </c>
      <c r="I54" s="10" t="n">
        <v>45667.70930555555</v>
      </c>
      <c r="J54" s="10" t="n">
        <v>45667.71026620371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IF(AND(ISNUMBER(E54),ISNUMBER(J54)),(J54-E54),"")</f>
        <v/>
      </c>
    </row>
    <row r="55">
      <c r="A55" s="3" t="inlineStr">
        <is>
          <t>OBT100125165112-Innsbruck</t>
        </is>
      </c>
      <c r="B55" s="3" t="inlineStr">
        <is>
          <t>Innsbruck</t>
        </is>
      </c>
      <c r="C55" s="3" t="inlineStr">
        <is>
          <t>606</t>
        </is>
      </c>
      <c r="D55" s="3" t="n">
        <v>3</v>
      </c>
      <c r="E55" s="10" t="n">
        <v>45666.25641203704</v>
      </c>
      <c r="F55" s="10" t="n">
        <v>45667.70222222222</v>
      </c>
      <c r="G55" s="10" t="n">
        <v>45667.70305555555</v>
      </c>
      <c r="H55" s="10" t="n">
        <v>45667.73083333333</v>
      </c>
      <c r="I55" s="10" t="n">
        <v>45667.73083333333</v>
      </c>
      <c r="J55" s="10" t="n">
        <v>45667.73171296297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IF(AND(ISNUMBER(E55),ISNUMBER(J55)),(J55-E55),"")</f>
        <v/>
      </c>
    </row>
    <row r="56">
      <c r="A56" s="3" t="inlineStr">
        <is>
          <t>OBT100125165346-Linz</t>
        </is>
      </c>
      <c r="B56" s="3" t="inlineStr">
        <is>
          <t>Linz</t>
        </is>
      </c>
      <c r="C56" s="3" t="inlineStr">
        <is>
          <t>607</t>
        </is>
      </c>
      <c r="D56" s="3" t="n">
        <v>3</v>
      </c>
      <c r="E56" s="10" t="n">
        <v>45667.55578703704</v>
      </c>
      <c r="F56" s="10" t="n">
        <v>45667.70400462963</v>
      </c>
      <c r="G56" s="10" t="n">
        <v>45667.70574074074</v>
      </c>
      <c r="H56" s="10" t="n">
        <v>45667.73629629629</v>
      </c>
      <c r="I56" s="10" t="n">
        <v>45667.73629629629</v>
      </c>
      <c r="J56" s="10" t="n">
        <v>45667.73730324074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IF(AND(ISNUMBER(E56),ISNUMBER(J56)),(J56-E56),"")</f>
        <v/>
      </c>
    </row>
    <row r="57">
      <c r="A57" s="3" t="inlineStr">
        <is>
          <t>OBT110125063829-Ljubljana</t>
        </is>
      </c>
      <c r="B57" s="3" t="inlineStr">
        <is>
          <t>Ljubljana</t>
        </is>
      </c>
      <c r="C57" s="3" t="inlineStr">
        <is>
          <t>615</t>
        </is>
      </c>
      <c r="D57" s="3" t="n">
        <v>3</v>
      </c>
      <c r="E57" s="10" t="n">
        <v>45667.6358912037</v>
      </c>
      <c r="F57" s="10" t="n">
        <v>45668.27672453703</v>
      </c>
      <c r="G57" s="10" t="n">
        <v>45668.27756944444</v>
      </c>
      <c r="H57" s="10" t="n">
        <v>45668.29701388889</v>
      </c>
      <c r="I57" s="10" t="n">
        <v>45668.29701388889</v>
      </c>
      <c r="J57" s="10" t="n">
        <v>45668.29773148148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IF(AND(ISNUMBER(E57),ISNUMBER(J57)),(J57-E57),"")</f>
        <v/>
      </c>
    </row>
    <row r="58">
      <c r="A58" s="3" t="inlineStr">
        <is>
          <t>OBT110125063952-Graz</t>
        </is>
      </c>
      <c r="B58" s="3" t="inlineStr">
        <is>
          <t>Graz</t>
        </is>
      </c>
      <c r="C58" s="3" t="inlineStr">
        <is>
          <t>619</t>
        </is>
      </c>
      <c r="D58" s="3" t="n">
        <v>3</v>
      </c>
      <c r="E58" s="10" t="n">
        <v>45667.94967592593</v>
      </c>
      <c r="F58" s="10" t="n">
        <v>45668.27768518519</v>
      </c>
      <c r="G58" s="10" t="n">
        <v>45668.27855324074</v>
      </c>
      <c r="H58" s="10" t="n">
        <v>45668.30355324074</v>
      </c>
      <c r="I58" s="10" t="n">
        <v>45668.30355324074</v>
      </c>
      <c r="J58" s="10" t="n">
        <v>45668.30443287037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IF(AND(ISNUMBER(E58),ISNUMBER(J58)),(J58-E58),"")</f>
        <v/>
      </c>
    </row>
    <row r="59">
      <c r="A59" s="3" t="inlineStr">
        <is>
          <t>OBT110125071413-Ljubljana</t>
        </is>
      </c>
      <c r="B59" s="3" t="inlineStr">
        <is>
          <t>Ljubljana</t>
        </is>
      </c>
      <c r="C59" s="3" t="inlineStr">
        <is>
          <t>607</t>
        </is>
      </c>
      <c r="D59" s="3" t="n">
        <v>4</v>
      </c>
      <c r="E59" s="10" t="n">
        <v>45668.2719212963</v>
      </c>
      <c r="F59" s="10" t="n">
        <v>45668.30153935185</v>
      </c>
      <c r="G59" s="10" t="n">
        <v>45668.30239583334</v>
      </c>
      <c r="H59" s="10" t="n">
        <v>45668.33295138889</v>
      </c>
      <c r="I59" s="10" t="n">
        <v>45668.33295138889</v>
      </c>
      <c r="J59" s="10" t="n">
        <v>45668.33394675926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IF(AND(ISNUMBER(E59),ISNUMBER(J59)),(J59-E59),"")</f>
        <v/>
      </c>
    </row>
    <row r="60">
      <c r="A60" s="3" t="inlineStr">
        <is>
          <t>OBT110125073539-Innsbruck</t>
        </is>
      </c>
      <c r="B60" s="3" t="inlineStr">
        <is>
          <t>Innsbruck</t>
        </is>
      </c>
      <c r="C60" s="3" t="inlineStr">
        <is>
          <t>623</t>
        </is>
      </c>
      <c r="D60" s="3" t="n">
        <v>5</v>
      </c>
      <c r="E60" s="10" t="n">
        <v>45667.94768518519</v>
      </c>
      <c r="F60" s="10" t="n">
        <v>45668.31642361111</v>
      </c>
      <c r="G60" s="10" t="n">
        <v>45668.32149305556</v>
      </c>
      <c r="H60" s="10" t="n">
        <v>45668.35204861111</v>
      </c>
      <c r="I60" s="10" t="n">
        <v>45668.35204861111</v>
      </c>
      <c r="J60" s="10" t="n">
        <v>45668.35299768519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IF(AND(ISNUMBER(E60),ISNUMBER(J60)),(J60-E60),"")</f>
        <v/>
      </c>
    </row>
    <row r="61">
      <c r="A61" s="3" t="inlineStr">
        <is>
          <t>OBT110125074027-Salzburg</t>
        </is>
      </c>
      <c r="B61" s="3" t="inlineStr">
        <is>
          <t>Salzburg</t>
        </is>
      </c>
      <c r="C61" s="3" t="inlineStr">
        <is>
          <t>625</t>
        </is>
      </c>
      <c r="D61" s="3" t="n">
        <v>3</v>
      </c>
      <c r="E61" s="10" t="n">
        <v>45667.8434375</v>
      </c>
      <c r="F61" s="10" t="n">
        <v>45668.31975694445</v>
      </c>
      <c r="G61" s="10" t="n">
        <v>45668.3246875</v>
      </c>
      <c r="H61" s="10" t="n">
        <v>45668.34690972222</v>
      </c>
      <c r="I61" s="10" t="n">
        <v>45668.34690972222</v>
      </c>
      <c r="J61" s="10" t="n">
        <v>45668.34769675926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IF(AND(ISNUMBER(E61),ISNUMBER(J61)),(J61-E61),"")</f>
        <v/>
      </c>
    </row>
    <row r="62">
      <c r="A62" s="3" t="inlineStr">
        <is>
          <t>OBT110125122417-Budapest</t>
        </is>
      </c>
      <c r="B62" s="3" t="inlineStr">
        <is>
          <t>Budapest</t>
        </is>
      </c>
      <c r="C62" s="3" t="inlineStr">
        <is>
          <t>613</t>
        </is>
      </c>
      <c r="D62" s="3" t="n">
        <v>3</v>
      </c>
      <c r="E62" s="10" t="n">
        <v>45667.71424768519</v>
      </c>
      <c r="F62" s="10" t="n">
        <v>45668.51686342592</v>
      </c>
      <c r="G62" s="10" t="n">
        <v>45668.51773148148</v>
      </c>
      <c r="H62" s="10" t="n">
        <v>45668.5399537037</v>
      </c>
      <c r="I62" s="10" t="n">
        <v>45668.5399537037</v>
      </c>
      <c r="J62" s="10" t="n">
        <v>45668.54067129629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IF(AND(ISNUMBER(E62),ISNUMBER(J62)),(J62-E62),"")</f>
        <v/>
      </c>
    </row>
    <row r="63">
      <c r="A63" s="3" t="inlineStr">
        <is>
          <t>OBT110125125652-Vienna</t>
        </is>
      </c>
      <c r="B63" s="3" t="inlineStr">
        <is>
          <t>Vienna</t>
        </is>
      </c>
      <c r="C63" s="3" t="inlineStr">
        <is>
          <t>605</t>
        </is>
      </c>
      <c r="D63" s="3" t="n">
        <v>3</v>
      </c>
      <c r="E63" s="10" t="n">
        <v>45667.84523148148</v>
      </c>
      <c r="F63" s="10" t="n">
        <v>45668.53949074074</v>
      </c>
      <c r="G63" s="10" t="n">
        <v>45668.54168981482</v>
      </c>
      <c r="H63" s="10" t="n">
        <v>45668.56946759259</v>
      </c>
      <c r="I63" s="10" t="n">
        <v>45668.56946759259</v>
      </c>
      <c r="J63" s="10" t="n">
        <v>45668.57042824074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IF(AND(ISNUMBER(E63),ISNUMBER(J63)),(J63-E63),"")</f>
        <v/>
      </c>
    </row>
    <row r="64">
      <c r="A64" s="3" t="inlineStr">
        <is>
          <t>OBT110125130204-Ljubljana</t>
        </is>
      </c>
      <c r="B64" s="3" t="inlineStr">
        <is>
          <t>Ljubljana</t>
        </is>
      </c>
      <c r="C64" s="3" t="inlineStr">
        <is>
          <t>625</t>
        </is>
      </c>
      <c r="D64" s="3" t="n">
        <v>2</v>
      </c>
      <c r="E64" s="10" t="n">
        <v>45668.50979166666</v>
      </c>
      <c r="F64" s="10" t="n">
        <v>45668.54310185185</v>
      </c>
      <c r="G64" s="10" t="n">
        <v>45668.54569444444</v>
      </c>
      <c r="H64" s="10" t="n">
        <v>45668.56513888889</v>
      </c>
      <c r="I64" s="10" t="n">
        <v>45668.56513888889</v>
      </c>
      <c r="J64" s="10" t="n">
        <v>45668.5658912037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IF(AND(ISNUMBER(E64),ISNUMBER(J64)),(J64-E64),"")</f>
        <v/>
      </c>
    </row>
    <row r="65">
      <c r="A65" s="3" t="inlineStr">
        <is>
          <t>OBT110125130321-Klagenfurt</t>
        </is>
      </c>
      <c r="B65" s="3" t="inlineStr">
        <is>
          <t>Klagenfurt</t>
        </is>
      </c>
      <c r="C65" s="3" t="inlineStr">
        <is>
          <t>627</t>
        </is>
      </c>
      <c r="D65" s="3" t="n">
        <v>3</v>
      </c>
      <c r="E65" s="10" t="n">
        <v>45667.38939814815</v>
      </c>
      <c r="F65" s="10" t="n">
        <v>45668.54399305556</v>
      </c>
      <c r="G65" s="10" t="n">
        <v>45668.5668287037</v>
      </c>
      <c r="H65" s="10" t="n">
        <v>45668.59182870371</v>
      </c>
      <c r="I65" s="10" t="n">
        <v>45668.59182870371</v>
      </c>
      <c r="J65" s="10" t="n">
        <v>45668.59255787037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IF(AND(ISNUMBER(E65),ISNUMBER(J65)),(J65-E65),"")</f>
        <v/>
      </c>
    </row>
    <row r="66">
      <c r="A66" s="3" t="inlineStr">
        <is>
          <t>OBT110125130624-Salzburg</t>
        </is>
      </c>
      <c r="B66" s="3" t="inlineStr">
        <is>
          <t>Salzburg</t>
        </is>
      </c>
      <c r="C66" s="3" t="inlineStr">
        <is>
          <t>615</t>
        </is>
      </c>
      <c r="D66" s="3" t="n">
        <v>3</v>
      </c>
      <c r="E66" s="10" t="n">
        <v>45668.3171875</v>
      </c>
      <c r="F66" s="10" t="n">
        <v>45668.54611111111</v>
      </c>
      <c r="G66" s="10" t="n">
        <v>45668.57027777778</v>
      </c>
      <c r="H66" s="10" t="n">
        <v>45668.59805555556</v>
      </c>
      <c r="I66" s="10" t="n">
        <v>45668.59805555556</v>
      </c>
      <c r="J66" s="10" t="n">
        <v>45668.59888888889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IF(AND(ISNUMBER(E66),ISNUMBER(J66)),(J66-E66),"")</f>
        <v/>
      </c>
    </row>
    <row r="67">
      <c r="A67" s="3" t="inlineStr">
        <is>
          <t>OBT110125133600-Ljubljana</t>
        </is>
      </c>
      <c r="B67" s="3" t="inlineStr">
        <is>
          <t>Ljubljana</t>
        </is>
      </c>
      <c r="C67" s="3" t="inlineStr">
        <is>
          <t>613</t>
        </is>
      </c>
      <c r="D67" s="3" t="n">
        <v>3</v>
      </c>
      <c r="E67" s="10" t="n">
        <v>45668.54681712963</v>
      </c>
      <c r="F67" s="10" t="n">
        <v>45668.56666666667</v>
      </c>
      <c r="G67" s="10" t="n">
        <v>45668.5712037037</v>
      </c>
      <c r="H67" s="10" t="n">
        <v>45668.60175925926</v>
      </c>
      <c r="I67" s="10" t="n">
        <v>45668.60175925926</v>
      </c>
      <c r="J67" s="10" t="n">
        <v>45668.60259259259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IF(AND(ISNUMBER(E67),ISNUMBER(J67)),(J67-E67),"")</f>
        <v/>
      </c>
    </row>
    <row r="68">
      <c r="A68" s="3" t="inlineStr">
        <is>
          <t>OBT110125213155-Vienna</t>
        </is>
      </c>
      <c r="B68" s="3" t="inlineStr">
        <is>
          <t>Vienna</t>
        </is>
      </c>
      <c r="C68" s="3" t="inlineStr">
        <is>
          <t>607</t>
        </is>
      </c>
      <c r="D68" s="3" t="n">
        <v>2</v>
      </c>
      <c r="E68" s="10" t="n">
        <v>45668.55346064815</v>
      </c>
      <c r="F68" s="10" t="n">
        <v>45668.89716435185</v>
      </c>
      <c r="G68" s="10" t="n">
        <v>45668.89803240741</v>
      </c>
      <c r="H68" s="10" t="n">
        <v>45668.91747685185</v>
      </c>
      <c r="I68" s="10" t="n">
        <v>45668.91747685185</v>
      </c>
      <c r="J68" s="10" t="n">
        <v>45668.91833333333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IF(AND(ISNUMBER(E68),ISNUMBER(J68)),(J68-E68),"")</f>
        <v/>
      </c>
    </row>
    <row r="69">
      <c r="A69" s="3" t="inlineStr">
        <is>
          <t>OBT110125215724-Graz</t>
        </is>
      </c>
      <c r="B69" s="3" t="inlineStr">
        <is>
          <t>Graz</t>
        </is>
      </c>
      <c r="C69" s="3" t="inlineStr">
        <is>
          <t>606</t>
        </is>
      </c>
      <c r="D69" s="3" t="n">
        <v>6</v>
      </c>
      <c r="E69" s="10" t="n">
        <v>45668.2702662037</v>
      </c>
      <c r="F69" s="10" t="n">
        <v>45668.91486111111</v>
      </c>
      <c r="G69" s="10" t="n">
        <v>45668.91570601852</v>
      </c>
      <c r="H69" s="10" t="n">
        <v>45668.96015046296</v>
      </c>
      <c r="I69" s="10" t="n">
        <v>45668.96015046296</v>
      </c>
      <c r="J69" s="10" t="n">
        <v>45668.96125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IF(AND(ISNUMBER(E69),ISNUMBER(J69)),(J69-E69),"")</f>
        <v/>
      </c>
    </row>
    <row r="70">
      <c r="A70" s="3" t="inlineStr">
        <is>
          <t>OBT120125000412-Salzburg</t>
        </is>
      </c>
      <c r="B70" s="3" t="inlineStr">
        <is>
          <t>Salzburg</t>
        </is>
      </c>
      <c r="C70" s="3" t="inlineStr">
        <is>
          <t>627</t>
        </is>
      </c>
      <c r="D70" s="3" t="n">
        <v>2</v>
      </c>
      <c r="E70" s="10" t="n">
        <v>45668.98903935185</v>
      </c>
      <c r="F70" s="10" t="n">
        <v>45669.00291666666</v>
      </c>
      <c r="G70" s="10" t="n">
        <v>45669.00376157407</v>
      </c>
      <c r="H70" s="10" t="n">
        <v>45669.02598379629</v>
      </c>
      <c r="I70" s="10" t="n">
        <v>45669.02598379629</v>
      </c>
      <c r="J70" s="10" t="n">
        <v>45669.02666666666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IF(AND(ISNUMBER(E70),ISNUMBER(J70)),(J70-E70),"")</f>
        <v/>
      </c>
    </row>
    <row r="71">
      <c r="A71" s="3" t="inlineStr">
        <is>
          <t>OBT120125083654-Innsbruck</t>
        </is>
      </c>
      <c r="B71" s="3" t="inlineStr">
        <is>
          <t>Innsbruck</t>
        </is>
      </c>
      <c r="C71" s="3" t="inlineStr">
        <is>
          <t>615</t>
        </is>
      </c>
      <c r="D71" s="3" t="n">
        <v>3</v>
      </c>
      <c r="E71" s="10" t="n">
        <v>45668.75993055556</v>
      </c>
      <c r="F71" s="10" t="n">
        <v>45669.35895833333</v>
      </c>
      <c r="G71" s="10" t="n">
        <v>45669.35979166667</v>
      </c>
      <c r="H71" s="10" t="n">
        <v>45669.38479166666</v>
      </c>
      <c r="I71" s="10" t="n">
        <v>45669.38479166666</v>
      </c>
      <c r="J71" s="10" t="n">
        <v>45669.38559027778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IF(AND(ISNUMBER(E71),ISNUMBER(J71)),(J71-E71),"")</f>
        <v/>
      </c>
    </row>
    <row r="72">
      <c r="A72" s="3" t="inlineStr">
        <is>
          <t>OBT120125084207-Klagenfurt</t>
        </is>
      </c>
      <c r="B72" s="3" t="inlineStr">
        <is>
          <t>Klagenfurt</t>
        </is>
      </c>
      <c r="C72" s="3" t="inlineStr">
        <is>
          <t>619</t>
        </is>
      </c>
      <c r="D72" s="3" t="n">
        <v>4</v>
      </c>
      <c r="E72" s="10" t="n">
        <v>45668.53990740741</v>
      </c>
      <c r="F72" s="10" t="n">
        <v>45669.36258101852</v>
      </c>
      <c r="G72" s="10" t="n">
        <v>45669.36344907407</v>
      </c>
      <c r="H72" s="10" t="n">
        <v>45669.39122685185</v>
      </c>
      <c r="I72" s="10" t="n">
        <v>45669.39122685185</v>
      </c>
      <c r="J72" s="10" t="n">
        <v>45669.39215277778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IF(AND(ISNUMBER(E72),ISNUMBER(J72)),(J72-E72),"")</f>
        <v/>
      </c>
    </row>
    <row r="73">
      <c r="A73" s="3" t="inlineStr">
        <is>
          <t>OBT120125095853-Linz</t>
        </is>
      </c>
      <c r="B73" s="3" t="inlineStr">
        <is>
          <t>Linz</t>
        </is>
      </c>
      <c r="C73" s="3" t="inlineStr">
        <is>
          <t>609</t>
        </is>
      </c>
      <c r="D73" s="3" t="n">
        <v>2</v>
      </c>
      <c r="E73" s="10" t="n">
        <v>45668.55503472222</v>
      </c>
      <c r="F73" s="10" t="n">
        <v>45669.4158912037</v>
      </c>
      <c r="G73" s="10" t="n">
        <v>45669.41667824074</v>
      </c>
      <c r="H73" s="10" t="n">
        <v>45669.43890046296</v>
      </c>
      <c r="I73" s="10" t="n">
        <v>45669.43890046296</v>
      </c>
      <c r="J73" s="10" t="n">
        <v>45669.43973379629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IF(AND(ISNUMBER(E73),ISNUMBER(J73)),(J73-E73),"")</f>
        <v/>
      </c>
    </row>
    <row r="74">
      <c r="A74" s="3" t="inlineStr">
        <is>
          <t>OBT120125104405-Budapest</t>
        </is>
      </c>
      <c r="B74" s="3" t="inlineStr">
        <is>
          <t>Budapest</t>
        </is>
      </c>
      <c r="C74" s="3" t="inlineStr">
        <is>
          <t>623</t>
        </is>
      </c>
      <c r="D74" s="3" t="n">
        <v>3</v>
      </c>
      <c r="E74" s="10" t="n">
        <v>45668.54857638889</v>
      </c>
      <c r="F74" s="10" t="n">
        <v>45669.44728009259</v>
      </c>
      <c r="G74" s="10" t="n">
        <v>45669.4480787037</v>
      </c>
      <c r="H74" s="10" t="n">
        <v>45669.47030092592</v>
      </c>
      <c r="I74" s="10" t="n">
        <v>45669.47030092592</v>
      </c>
      <c r="J74" s="10" t="n">
        <v>45669.47113425926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IF(AND(ISNUMBER(E74),ISNUMBER(J74)),(J74-E74),"")</f>
        <v/>
      </c>
    </row>
    <row r="75">
      <c r="A75" s="3" t="inlineStr">
        <is>
          <t>OBT120125113345-Salzburg</t>
        </is>
      </c>
      <c r="B75" s="3" t="inlineStr">
        <is>
          <t>Salzburg</t>
        </is>
      </c>
      <c r="C75" s="3" t="inlineStr">
        <is>
          <t>605</t>
        </is>
      </c>
      <c r="D75" s="3" t="n">
        <v>2</v>
      </c>
      <c r="E75" s="10" t="n">
        <v>45669.46829861111</v>
      </c>
      <c r="F75" s="10" t="n">
        <v>45669.48177083334</v>
      </c>
      <c r="G75" s="10" t="n">
        <v>45669.48261574074</v>
      </c>
      <c r="H75" s="10" t="n">
        <v>45669.50761574074</v>
      </c>
      <c r="I75" s="10" t="n">
        <v>45669.50761574074</v>
      </c>
      <c r="J75" s="10" t="n">
        <v>45669.50854166667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IF(AND(ISNUMBER(E75),ISNUMBER(J75)),(J75-E75),"")</f>
        <v/>
      </c>
    </row>
    <row r="76">
      <c r="A76" s="3" t="inlineStr">
        <is>
          <t>OBT120125121725-Ljubljana</t>
        </is>
      </c>
      <c r="B76" s="3" t="inlineStr">
        <is>
          <t>Ljubljana</t>
        </is>
      </c>
      <c r="C76" s="3" t="inlineStr">
        <is>
          <t>613</t>
        </is>
      </c>
      <c r="D76" s="3" t="n">
        <v>2</v>
      </c>
      <c r="E76" s="10" t="n">
        <v>45668.89097222222</v>
      </c>
      <c r="F76" s="10" t="n">
        <v>45669.5120949074</v>
      </c>
      <c r="G76" s="10" t="n">
        <v>45669.51293981481</v>
      </c>
      <c r="H76" s="10" t="n">
        <v>45669.53793981481</v>
      </c>
      <c r="I76" s="10" t="n">
        <v>45669.53793981481</v>
      </c>
      <c r="J76" s="10" t="n">
        <v>45669.53870370371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IF(AND(ISNUMBER(E76),ISNUMBER(J76)),(J76-E76),"")</f>
        <v/>
      </c>
    </row>
    <row r="77">
      <c r="A77" s="3" t="inlineStr">
        <is>
          <t>OBT120125162654-Ljubljana</t>
        </is>
      </c>
      <c r="B77" s="3" t="inlineStr">
        <is>
          <t>Ljubljana</t>
        </is>
      </c>
      <c r="C77" s="3" t="inlineStr">
        <is>
          <t>619</t>
        </is>
      </c>
      <c r="D77" s="3" t="n">
        <v>2</v>
      </c>
      <c r="E77" s="10" t="n">
        <v>45669.50630787037</v>
      </c>
      <c r="F77" s="10" t="n">
        <v>45669.68534722222</v>
      </c>
      <c r="G77" s="10" t="n">
        <v>45669.68621527778</v>
      </c>
      <c r="H77" s="10" t="n">
        <v>45669.70565972223</v>
      </c>
      <c r="I77" s="10" t="n">
        <v>45669.70565972223</v>
      </c>
      <c r="J77" s="10" t="n">
        <v>45669.70646990741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IF(AND(ISNUMBER(E77),ISNUMBER(J77)),(J77-E77),"")</f>
        <v/>
      </c>
    </row>
    <row r="78">
      <c r="A78" s="3" t="inlineStr">
        <is>
          <t>OBT120125194018-Vienna</t>
        </is>
      </c>
      <c r="B78" s="3" t="inlineStr">
        <is>
          <t>Vienna</t>
        </is>
      </c>
      <c r="C78" s="3" t="inlineStr">
        <is>
          <t>625</t>
        </is>
      </c>
      <c r="D78" s="3" t="n">
        <v>4</v>
      </c>
      <c r="E78" s="10" t="n">
        <v>45668.99109953704</v>
      </c>
      <c r="F78" s="10" t="n">
        <v>45669.81965277778</v>
      </c>
      <c r="G78" s="10" t="n">
        <v>45669.82052083333</v>
      </c>
      <c r="H78" s="10" t="n">
        <v>45669.85385416666</v>
      </c>
      <c r="I78" s="10" t="n">
        <v>45669.85385416666</v>
      </c>
      <c r="J78" s="10" t="n">
        <v>45669.85479166666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IF(AND(ISNUMBER(E78),ISNUMBER(J78)),(J78-E78),"")</f>
        <v/>
      </c>
    </row>
    <row r="79">
      <c r="A79" s="3" t="inlineStr">
        <is>
          <t>OBT120125230501-Budapest</t>
        </is>
      </c>
      <c r="B79" s="3" t="inlineStr">
        <is>
          <t>Budapest</t>
        </is>
      </c>
      <c r="C79" s="3" t="inlineStr">
        <is>
          <t>613</t>
        </is>
      </c>
      <c r="D79" s="3" t="n">
        <v>7</v>
      </c>
      <c r="E79" s="10" t="n">
        <v>45669.67849537037</v>
      </c>
      <c r="F79" s="10" t="n">
        <v>45669.96181712963</v>
      </c>
      <c r="G79" s="10" t="n">
        <v>45669.96267361111</v>
      </c>
      <c r="H79" s="10" t="n">
        <v>45670.01545138889</v>
      </c>
      <c r="I79" s="10" t="n">
        <v>45670.01545138889</v>
      </c>
      <c r="J79" s="10" t="n">
        <v>45670.01657407408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IF(AND(ISNUMBER(E79),ISNUMBER(J79)),(J79-E79),"")</f>
        <v/>
      </c>
    </row>
  </sheetData>
  <autoFilter ref="A1:N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8.199999999999999" customWidth="1" min="4" max="4"/>
    <col width="19" customWidth="1" min="5" max="5"/>
    <col width="19" customWidth="1" min="6" max="6"/>
    <col width="8.199999999999999" customWidth="1" min="7" max="7"/>
    <col width="8.199999999999999" customWidth="1" min="8" max="8"/>
  </cols>
  <sheetData>
    <row r="1" ht="45" customHeight="1">
      <c r="A1" s="1" t="inlineStr">
        <is>
          <t>WG Id</t>
        </is>
      </c>
      <c r="B1" s="1" t="inlineStr">
        <is>
          <t>Track</t>
        </is>
      </c>
      <c r="C1" s="1" t="inlineStr">
        <is>
          <t>Arrived At</t>
        </is>
      </c>
      <c r="D1" s="1" t="inlineStr">
        <is>
          <t>OBT Id</t>
        </is>
      </c>
      <c r="E1" s="1" t="inlineStr">
        <is>
          <t>OBT Created</t>
        </is>
      </c>
      <c r="F1" s="1" t="inlineStr">
        <is>
          <t>OBT Departed</t>
        </is>
      </c>
      <c r="G1" s="1" t="inlineStr">
        <is>
          <t>Dwell Until OBT Created (hh:mm:ss)</t>
        </is>
      </c>
      <c r="H1" s="1" t="inlineStr">
        <is>
          <t>Total in Classification (hh:mm:ss)</t>
        </is>
      </c>
    </row>
    <row r="2">
      <c r="A2" s="3" t="inlineStr">
        <is>
          <t>1200201</t>
        </is>
      </c>
      <c r="B2" s="3" t="inlineStr">
        <is>
          <t>615</t>
        </is>
      </c>
      <c r="C2" s="10" t="n">
        <v>45663.21814814815</v>
      </c>
      <c r="D2" s="3" t="inlineStr">
        <is>
          <t>OBT060125052942-Ljubljana</t>
        </is>
      </c>
      <c r="E2" s="10" t="n">
        <v>45663.22895833333</v>
      </c>
      <c r="F2" s="10" t="n">
        <v>45663.25084490741</v>
      </c>
      <c r="G2" s="11">
        <f>IF(AND(ISNUMBER(C2),ISNUMBER(E2)),(E2-C2),"")</f>
        <v/>
      </c>
      <c r="H2" s="11">
        <f>IF(AND(ISNUMBER(C2),ISNUMBER(F2)),(F2-C2),"")</f>
        <v/>
      </c>
    </row>
    <row r="3">
      <c r="A3" s="3" t="inlineStr">
        <is>
          <t>1200202</t>
        </is>
      </c>
      <c r="B3" s="3" t="inlineStr">
        <is>
          <t>613</t>
        </is>
      </c>
      <c r="C3" s="10" t="n">
        <v>45663.21957175926</v>
      </c>
      <c r="D3" s="3" t="inlineStr">
        <is>
          <t>OBT070125062515-Linz</t>
        </is>
      </c>
      <c r="E3" s="10" t="n">
        <v>45664.26753472222</v>
      </c>
      <c r="F3" s="10" t="n">
        <v>45664.29414351852</v>
      </c>
      <c r="G3" s="11">
        <f>IF(AND(ISNUMBER(C3),ISNUMBER(E3)),(E3-C3),"")</f>
        <v/>
      </c>
      <c r="H3" s="11">
        <f>IF(AND(ISNUMBER(C3),ISNUMBER(F3)),(F3-C3),"")</f>
        <v/>
      </c>
    </row>
    <row r="4">
      <c r="A4" s="3" t="inlineStr">
        <is>
          <t>1200203</t>
        </is>
      </c>
      <c r="B4" s="3" t="inlineStr">
        <is>
          <t>613</t>
        </is>
      </c>
      <c r="C4" s="10" t="n">
        <v>45663.21957175926</v>
      </c>
      <c r="D4" s="3" t="inlineStr">
        <is>
          <t>OBT070125062515-Linz</t>
        </is>
      </c>
      <c r="E4" s="10" t="n">
        <v>45664.26753472222</v>
      </c>
      <c r="F4" s="10" t="n">
        <v>45664.29414351852</v>
      </c>
      <c r="G4" s="11">
        <f>IF(AND(ISNUMBER(C4),ISNUMBER(E4)),(E4-C4),"")</f>
        <v/>
      </c>
      <c r="H4" s="11">
        <f>IF(AND(ISNUMBER(C4),ISNUMBER(F4)),(F4-C4),"")</f>
        <v/>
      </c>
    </row>
    <row r="5">
      <c r="A5" s="3" t="inlineStr">
        <is>
          <t>1200204</t>
        </is>
      </c>
      <c r="B5" s="3" t="inlineStr">
        <is>
          <t>615</t>
        </is>
      </c>
      <c r="C5" s="10" t="n">
        <v>45663.22078703704</v>
      </c>
      <c r="D5" s="3" t="inlineStr">
        <is>
          <t>OBT060125052942-Ljubljana</t>
        </is>
      </c>
      <c r="E5" s="10" t="n">
        <v>45663.22895833333</v>
      </c>
      <c r="F5" s="10" t="n">
        <v>45663.25084490741</v>
      </c>
      <c r="G5" s="11">
        <f>IF(AND(ISNUMBER(C5),ISNUMBER(E5)),(E5-C5),"")</f>
        <v/>
      </c>
      <c r="H5" s="11">
        <f>IF(AND(ISNUMBER(C5),ISNUMBER(F5)),(F5-C5),"")</f>
        <v/>
      </c>
    </row>
    <row r="6">
      <c r="A6" s="3" t="inlineStr">
        <is>
          <t>1200101</t>
        </is>
      </c>
      <c r="B6" s="3" t="inlineStr">
        <is>
          <t>627</t>
        </is>
      </c>
      <c r="C6" s="10" t="n">
        <v>45663.2237962963</v>
      </c>
      <c r="D6" s="3" t="inlineStr">
        <is>
          <t>OBT060125053957-Graz</t>
        </is>
      </c>
      <c r="E6" s="10" t="n">
        <v>45663.23607638889</v>
      </c>
      <c r="F6" s="10" t="n">
        <v>45663.25700231481</v>
      </c>
      <c r="G6" s="11">
        <f>IF(AND(ISNUMBER(C6),ISNUMBER(E6)),(E6-C6),"")</f>
        <v/>
      </c>
      <c r="H6" s="11">
        <f>IF(AND(ISNUMBER(C6),ISNUMBER(F6)),(F6-C6),"")</f>
        <v/>
      </c>
    </row>
    <row r="7">
      <c r="A7" s="3" t="inlineStr">
        <is>
          <t>1200102</t>
        </is>
      </c>
      <c r="B7" s="3" t="inlineStr">
        <is>
          <t>627</t>
        </is>
      </c>
      <c r="C7" s="10" t="n">
        <v>45663.2237962963</v>
      </c>
      <c r="D7" s="3" t="inlineStr">
        <is>
          <t>OBT060125053957-Graz</t>
        </is>
      </c>
      <c r="E7" s="10" t="n">
        <v>45663.23607638889</v>
      </c>
      <c r="F7" s="10" t="n">
        <v>45663.25700231481</v>
      </c>
      <c r="G7" s="11">
        <f>IF(AND(ISNUMBER(C7),ISNUMBER(E7)),(E7-C7),"")</f>
        <v/>
      </c>
      <c r="H7" s="11">
        <f>IF(AND(ISNUMBER(C7),ISNUMBER(F7)),(F7-C7),"")</f>
        <v/>
      </c>
    </row>
    <row r="8">
      <c r="A8" s="3" t="inlineStr">
        <is>
          <t>1200103</t>
        </is>
      </c>
      <c r="B8" s="3" t="inlineStr">
        <is>
          <t>625</t>
        </is>
      </c>
      <c r="C8" s="10" t="n">
        <v>45663.22597222222</v>
      </c>
      <c r="D8" s="3" t="inlineStr">
        <is>
          <t>OBT070125064013-Ljubljana</t>
        </is>
      </c>
      <c r="E8" s="10" t="n">
        <v>45664.27792824074</v>
      </c>
      <c r="F8" s="10" t="n">
        <v>45664.32040509259</v>
      </c>
      <c r="G8" s="11">
        <f>IF(AND(ISNUMBER(C8),ISNUMBER(E8)),(E8-C8),"")</f>
        <v/>
      </c>
      <c r="H8" s="11">
        <f>IF(AND(ISNUMBER(C8),ISNUMBER(F8)),(F8-C8),"")</f>
        <v/>
      </c>
    </row>
    <row r="9">
      <c r="A9" s="3" t="inlineStr">
        <is>
          <t>1200104</t>
        </is>
      </c>
      <c r="B9" s="3" t="inlineStr">
        <is>
          <t>605</t>
        </is>
      </c>
      <c r="C9" s="10" t="n">
        <v>45663.22773148148</v>
      </c>
      <c r="D9" s="3" t="inlineStr">
        <is>
          <t>OBT060125151513-Graz</t>
        </is>
      </c>
      <c r="E9" s="10" t="n">
        <v>45663.63556712963</v>
      </c>
      <c r="F9" s="10" t="n">
        <v>45663.65954861111</v>
      </c>
      <c r="G9" s="11">
        <f>IF(AND(ISNUMBER(C9),ISNUMBER(E9)),(E9-C9),"")</f>
        <v/>
      </c>
      <c r="H9" s="11">
        <f>IF(AND(ISNUMBER(C9),ISNUMBER(F9)),(F9-C9),"")</f>
        <v/>
      </c>
    </row>
    <row r="10">
      <c r="A10" s="3" t="inlineStr">
        <is>
          <t>1200301</t>
        </is>
      </c>
      <c r="B10" s="3" t="inlineStr">
        <is>
          <t>615</t>
        </is>
      </c>
      <c r="C10" s="10" t="n">
        <v>45663.3221412037</v>
      </c>
      <c r="D10" s="3" t="inlineStr">
        <is>
          <t>OBT060125080833-Innsbruck</t>
        </is>
      </c>
      <c r="E10" s="10" t="n">
        <v>45663.33927083333</v>
      </c>
      <c r="F10" s="10" t="n">
        <v>45663.36876157407</v>
      </c>
      <c r="G10" s="11">
        <f>IF(AND(ISNUMBER(C10),ISNUMBER(E10)),(E10-C10),"")</f>
        <v/>
      </c>
      <c r="H10" s="11">
        <f>IF(AND(ISNUMBER(C10),ISNUMBER(F10)),(F10-C10),"")</f>
        <v/>
      </c>
    </row>
    <row r="11">
      <c r="A11" s="3" t="inlineStr">
        <is>
          <t>1200302</t>
        </is>
      </c>
      <c r="B11" s="3" t="inlineStr">
        <is>
          <t>615</t>
        </is>
      </c>
      <c r="C11" s="10" t="n">
        <v>45663.3221412037</v>
      </c>
      <c r="D11" s="3" t="inlineStr">
        <is>
          <t>OBT060125080833-Innsbruck</t>
        </is>
      </c>
      <c r="E11" s="10" t="n">
        <v>45663.33927083333</v>
      </c>
      <c r="F11" s="10" t="n">
        <v>45663.36876157407</v>
      </c>
      <c r="G11" s="11">
        <f>IF(AND(ISNUMBER(C11),ISNUMBER(E11)),(E11-C11),"")</f>
        <v/>
      </c>
      <c r="H11" s="11">
        <f>IF(AND(ISNUMBER(C11),ISNUMBER(F11)),(F11-C11),"")</f>
        <v/>
      </c>
    </row>
    <row r="12">
      <c r="A12" s="3" t="inlineStr">
        <is>
          <t>1200303</t>
        </is>
      </c>
      <c r="B12" s="3" t="inlineStr">
        <is>
          <t>615</t>
        </is>
      </c>
      <c r="C12" s="10" t="n">
        <v>45663.3221412037</v>
      </c>
      <c r="D12" s="3" t="inlineStr">
        <is>
          <t>OBT060125080833-Innsbruck</t>
        </is>
      </c>
      <c r="E12" s="10" t="n">
        <v>45663.33927083333</v>
      </c>
      <c r="F12" s="10" t="n">
        <v>45663.36876157407</v>
      </c>
      <c r="G12" s="11">
        <f>IF(AND(ISNUMBER(C12),ISNUMBER(E12)),(E12-C12),"")</f>
        <v/>
      </c>
      <c r="H12" s="11">
        <f>IF(AND(ISNUMBER(C12),ISNUMBER(F12)),(F12-C12),"")</f>
        <v/>
      </c>
    </row>
    <row r="13">
      <c r="A13" s="3" t="inlineStr">
        <is>
          <t>1200401</t>
        </is>
      </c>
      <c r="B13" s="3" t="inlineStr">
        <is>
          <t>615</t>
        </is>
      </c>
      <c r="C13" s="10" t="n">
        <v>45663.47741898148</v>
      </c>
      <c r="D13" s="3" t="inlineStr">
        <is>
          <t>OBT060125152158-Salzburg</t>
        </is>
      </c>
      <c r="E13" s="10" t="n">
        <v>45663.64025462963</v>
      </c>
      <c r="F13" s="10" t="n">
        <v>45663.67255787037</v>
      </c>
      <c r="G13" s="11">
        <f>IF(AND(ISNUMBER(C13),ISNUMBER(E13)),(E13-C13),"")</f>
        <v/>
      </c>
      <c r="H13" s="11">
        <f>IF(AND(ISNUMBER(C13),ISNUMBER(F13)),(F13-C13),"")</f>
        <v/>
      </c>
    </row>
    <row r="14">
      <c r="A14" s="3" t="inlineStr">
        <is>
          <t>1200402</t>
        </is>
      </c>
      <c r="B14" s="3" t="inlineStr">
        <is>
          <t>615</t>
        </is>
      </c>
      <c r="C14" s="10" t="n">
        <v>45663.47741898148</v>
      </c>
      <c r="D14" s="3" t="inlineStr">
        <is>
          <t>OBT060125152158-Salzburg</t>
        </is>
      </c>
      <c r="E14" s="10" t="n">
        <v>45663.64025462963</v>
      </c>
      <c r="F14" s="10" t="n">
        <v>45663.67255787037</v>
      </c>
      <c r="G14" s="11">
        <f>IF(AND(ISNUMBER(C14),ISNUMBER(E14)),(E14-C14),"")</f>
        <v/>
      </c>
      <c r="H14" s="11">
        <f>IF(AND(ISNUMBER(C14),ISNUMBER(F14)),(F14-C14),"")</f>
        <v/>
      </c>
    </row>
    <row r="15">
      <c r="A15" s="3" t="inlineStr">
        <is>
          <t>1200501</t>
        </is>
      </c>
      <c r="B15" s="3" t="inlineStr">
        <is>
          <t>605</t>
        </is>
      </c>
      <c r="C15" s="10" t="n">
        <v>45663.6258912037</v>
      </c>
      <c r="D15" s="3" t="inlineStr">
        <is>
          <t>OBT060125151513-Graz</t>
        </is>
      </c>
      <c r="E15" s="10" t="n">
        <v>45663.63556712963</v>
      </c>
      <c r="F15" s="10" t="n">
        <v>45663.65954861111</v>
      </c>
      <c r="G15" s="11">
        <f>IF(AND(ISNUMBER(C15),ISNUMBER(E15)),(E15-C15),"")</f>
        <v/>
      </c>
      <c r="H15" s="11">
        <f>IF(AND(ISNUMBER(C15),ISNUMBER(F15)),(F15-C15),"")</f>
        <v/>
      </c>
    </row>
    <row r="16">
      <c r="A16" s="3" t="inlineStr">
        <is>
          <t>1200502</t>
        </is>
      </c>
      <c r="B16" s="3" t="inlineStr">
        <is>
          <t>615</t>
        </is>
      </c>
      <c r="C16" s="10" t="n">
        <v>45663.62719907407</v>
      </c>
      <c r="D16" s="3" t="inlineStr">
        <is>
          <t>OBT060125152158-Salzburg</t>
        </is>
      </c>
      <c r="E16" s="10" t="n">
        <v>45663.64025462963</v>
      </c>
      <c r="F16" s="10" t="n">
        <v>45663.67255787037</v>
      </c>
      <c r="G16" s="11">
        <f>IF(AND(ISNUMBER(C16),ISNUMBER(E16)),(E16-C16),"")</f>
        <v/>
      </c>
      <c r="H16" s="11">
        <f>IF(AND(ISNUMBER(C16),ISNUMBER(F16)),(F16-C16),"")</f>
        <v/>
      </c>
    </row>
    <row r="17">
      <c r="A17" s="3" t="inlineStr">
        <is>
          <t>1200503</t>
        </is>
      </c>
      <c r="B17" s="3" t="inlineStr">
        <is>
          <t>615</t>
        </is>
      </c>
      <c r="C17" s="10" t="n">
        <v>45663.62719907407</v>
      </c>
      <c r="D17" s="3" t="inlineStr">
        <is>
          <t>OBT060125152158-Salzburg</t>
        </is>
      </c>
      <c r="E17" s="10" t="n">
        <v>45663.64025462963</v>
      </c>
      <c r="F17" s="10" t="n">
        <v>45663.67255787037</v>
      </c>
      <c r="G17" s="11">
        <f>IF(AND(ISNUMBER(C17),ISNUMBER(E17)),(E17-C17),"")</f>
        <v/>
      </c>
      <c r="H17" s="11">
        <f>IF(AND(ISNUMBER(C17),ISNUMBER(F17)),(F17-C17),"")</f>
        <v/>
      </c>
    </row>
    <row r="18">
      <c r="A18" s="3" t="inlineStr">
        <is>
          <t>1200504</t>
        </is>
      </c>
      <c r="B18" s="3" t="inlineStr">
        <is>
          <t>605</t>
        </is>
      </c>
      <c r="C18" s="10" t="n">
        <v>45663.62895833333</v>
      </c>
      <c r="D18" s="3" t="inlineStr">
        <is>
          <t>OBT060125151513-Graz</t>
        </is>
      </c>
      <c r="E18" s="10" t="n">
        <v>45663.63556712963</v>
      </c>
      <c r="F18" s="10" t="n">
        <v>45663.65954861111</v>
      </c>
      <c r="G18" s="11">
        <f>IF(AND(ISNUMBER(C18),ISNUMBER(E18)),(E18-C18),"")</f>
        <v/>
      </c>
      <c r="H18" s="11">
        <f>IF(AND(ISNUMBER(C18),ISNUMBER(F18)),(F18-C18),"")</f>
        <v/>
      </c>
    </row>
    <row r="19">
      <c r="A19" s="3" t="inlineStr">
        <is>
          <t>1200601</t>
        </is>
      </c>
      <c r="B19" s="3" t="inlineStr">
        <is>
          <t>613</t>
        </is>
      </c>
      <c r="C19" s="10" t="n">
        <v>45664.2593287037</v>
      </c>
      <c r="D19" s="3" t="inlineStr">
        <is>
          <t>OBT070125062515-Linz</t>
        </is>
      </c>
      <c r="E19" s="10" t="n">
        <v>45664.26753472222</v>
      </c>
      <c r="F19" s="10" t="n">
        <v>45664.29414351852</v>
      </c>
      <c r="G19" s="11">
        <f>IF(AND(ISNUMBER(C19),ISNUMBER(E19)),(E19-C19),"")</f>
        <v/>
      </c>
      <c r="H19" s="11">
        <f>IF(AND(ISNUMBER(C19),ISNUMBER(F19)),(F19-C19),"")</f>
        <v/>
      </c>
    </row>
    <row r="20">
      <c r="A20" s="3" t="inlineStr">
        <is>
          <t>1200602</t>
        </is>
      </c>
      <c r="B20" s="3" t="inlineStr">
        <is>
          <t>625</t>
        </is>
      </c>
      <c r="C20" s="10" t="n">
        <v>45664.26158564815</v>
      </c>
      <c r="D20" s="3" t="inlineStr">
        <is>
          <t>OBT070125064013-Ljubljana</t>
        </is>
      </c>
      <c r="E20" s="10" t="n">
        <v>45664.27792824074</v>
      </c>
      <c r="F20" s="10" t="n">
        <v>45664.32040509259</v>
      </c>
      <c r="G20" s="11">
        <f>IF(AND(ISNUMBER(C20),ISNUMBER(E20)),(E20-C20),"")</f>
        <v/>
      </c>
      <c r="H20" s="11">
        <f>IF(AND(ISNUMBER(C20),ISNUMBER(F20)),(F20-C20),"")</f>
        <v/>
      </c>
    </row>
    <row r="21">
      <c r="A21" s="3" t="inlineStr">
        <is>
          <t>1200603</t>
        </is>
      </c>
      <c r="B21" s="3" t="inlineStr">
        <is>
          <t>625</t>
        </is>
      </c>
      <c r="C21" s="10" t="n">
        <v>45664.26158564815</v>
      </c>
      <c r="D21" s="3" t="inlineStr">
        <is>
          <t>OBT070125064013-Ljubljana</t>
        </is>
      </c>
      <c r="E21" s="10" t="n">
        <v>45664.27792824074</v>
      </c>
      <c r="F21" s="10" t="n">
        <v>45664.32040509259</v>
      </c>
      <c r="G21" s="11">
        <f>IF(AND(ISNUMBER(C21),ISNUMBER(E21)),(E21-C21),"")</f>
        <v/>
      </c>
      <c r="H21" s="11">
        <f>IF(AND(ISNUMBER(C21),ISNUMBER(F21)),(F21-C21),"")</f>
        <v/>
      </c>
    </row>
    <row r="22">
      <c r="A22" s="3" t="inlineStr">
        <is>
          <t>1200701</t>
        </is>
      </c>
      <c r="B22" s="3" t="inlineStr">
        <is>
          <t>615</t>
        </is>
      </c>
      <c r="C22" s="10" t="n">
        <v>45664.2690162037</v>
      </c>
      <c r="D22" s="3" t="inlineStr">
        <is>
          <t>OBT070125064725-Vienna</t>
        </is>
      </c>
      <c r="E22" s="10" t="n">
        <v>45664.28292824074</v>
      </c>
      <c r="F22" s="10" t="n">
        <v>45664.3190625</v>
      </c>
      <c r="G22" s="11">
        <f>IF(AND(ISNUMBER(C22),ISNUMBER(E22)),(E22-C22),"")</f>
        <v/>
      </c>
      <c r="H22" s="11">
        <f>IF(AND(ISNUMBER(C22),ISNUMBER(F22)),(F22-C22),"")</f>
        <v/>
      </c>
    </row>
    <row r="23">
      <c r="A23" s="3" t="inlineStr">
        <is>
          <t>1200702</t>
        </is>
      </c>
      <c r="B23" s="3" t="inlineStr">
        <is>
          <t>615</t>
        </is>
      </c>
      <c r="C23" s="10" t="n">
        <v>45664.2690162037</v>
      </c>
      <c r="D23" s="3" t="inlineStr">
        <is>
          <t>OBT070125064725-Vienna</t>
        </is>
      </c>
      <c r="E23" s="10" t="n">
        <v>45664.28292824074</v>
      </c>
      <c r="F23" s="10" t="n">
        <v>45664.3190625</v>
      </c>
      <c r="G23" s="11">
        <f>IF(AND(ISNUMBER(C23),ISNUMBER(E23)),(E23-C23),"")</f>
        <v/>
      </c>
      <c r="H23" s="11">
        <f>IF(AND(ISNUMBER(C23),ISNUMBER(F23)),(F23-C23),"")</f>
        <v/>
      </c>
    </row>
    <row r="24">
      <c r="A24" s="3" t="inlineStr">
        <is>
          <t>1200801</t>
        </is>
      </c>
      <c r="B24" s="3" t="inlineStr">
        <is>
          <t>605</t>
        </is>
      </c>
      <c r="C24" s="10" t="n">
        <v>45664.27630787037</v>
      </c>
      <c r="D24" s="3" t="inlineStr">
        <is>
          <t>OBT070125065726-Vienna</t>
        </is>
      </c>
      <c r="E24" s="10" t="n">
        <v>45664.28988425926</v>
      </c>
      <c r="F24" s="10" t="n">
        <v>45664.34585648148</v>
      </c>
      <c r="G24" s="11">
        <f>IF(AND(ISNUMBER(C24),ISNUMBER(E24)),(E24-C24),"")</f>
        <v/>
      </c>
      <c r="H24" s="11">
        <f>IF(AND(ISNUMBER(C24),ISNUMBER(F24)),(F24-C24),"")</f>
        <v/>
      </c>
    </row>
    <row r="25">
      <c r="A25" s="3" t="inlineStr">
        <is>
          <t>1200802</t>
        </is>
      </c>
      <c r="B25" s="3" t="inlineStr">
        <is>
          <t>627</t>
        </is>
      </c>
      <c r="C25" s="10" t="n">
        <v>45664.27836805556</v>
      </c>
      <c r="D25" s="3" t="inlineStr">
        <is>
          <t>OBT070125070322-Graz</t>
        </is>
      </c>
      <c r="E25" s="10" t="n">
        <v>45664.29400462963</v>
      </c>
      <c r="F25" s="10" t="n">
        <v>45664.34119212963</v>
      </c>
      <c r="G25" s="11">
        <f>IF(AND(ISNUMBER(C25),ISNUMBER(E25)),(E25-C25),"")</f>
        <v/>
      </c>
      <c r="H25" s="11">
        <f>IF(AND(ISNUMBER(C25),ISNUMBER(F25)),(F25-C25),"")</f>
        <v/>
      </c>
    </row>
    <row r="26">
      <c r="A26" s="3" t="inlineStr">
        <is>
          <t>1200803</t>
        </is>
      </c>
      <c r="B26" s="3" t="inlineStr">
        <is>
          <t>605</t>
        </is>
      </c>
      <c r="C26" s="10" t="n">
        <v>45664.28020833333</v>
      </c>
      <c r="D26" s="3" t="inlineStr">
        <is>
          <t>OBT070125065726-Vienna</t>
        </is>
      </c>
      <c r="E26" s="10" t="n">
        <v>45664.28988425926</v>
      </c>
      <c r="F26" s="10" t="n">
        <v>45664.34585648148</v>
      </c>
      <c r="G26" s="11">
        <f>IF(AND(ISNUMBER(C26),ISNUMBER(E26)),(E26-C26),"")</f>
        <v/>
      </c>
      <c r="H26" s="11">
        <f>IF(AND(ISNUMBER(C26),ISNUMBER(F26)),(F26-C26),"")</f>
        <v/>
      </c>
    </row>
    <row r="27">
      <c r="A27" s="3" t="inlineStr">
        <is>
          <t>1200901</t>
        </is>
      </c>
      <c r="B27" s="3" t="inlineStr">
        <is>
          <t>627</t>
        </is>
      </c>
      <c r="C27" s="10" t="n">
        <v>45664.28543981481</v>
      </c>
      <c r="D27" s="3" t="inlineStr">
        <is>
          <t>OBT070125070322-Graz</t>
        </is>
      </c>
      <c r="E27" s="10" t="n">
        <v>45664.29400462963</v>
      </c>
      <c r="F27" s="10" t="n">
        <v>45664.34119212963</v>
      </c>
      <c r="G27" s="11">
        <f>IF(AND(ISNUMBER(C27),ISNUMBER(E27)),(E27-C27),"")</f>
        <v/>
      </c>
      <c r="H27" s="11">
        <f>IF(AND(ISNUMBER(C27),ISNUMBER(F27)),(F27-C27),"")</f>
        <v/>
      </c>
    </row>
    <row r="28">
      <c r="A28" s="3" t="inlineStr">
        <is>
          <t>1200902</t>
        </is>
      </c>
      <c r="B28" s="3" t="inlineStr">
        <is>
          <t>623</t>
        </is>
      </c>
      <c r="C28" s="10" t="n">
        <v>45664.28719907408</v>
      </c>
      <c r="D28" s="3" t="inlineStr">
        <is>
          <t>OBT070125074604-Salzburg</t>
        </is>
      </c>
      <c r="E28" s="10" t="n">
        <v>45664.32365740741</v>
      </c>
      <c r="F28" s="10" t="n">
        <v>45664.36814814815</v>
      </c>
      <c r="G28" s="11">
        <f>IF(AND(ISNUMBER(C28),ISNUMBER(E28)),(E28-C28),"")</f>
        <v/>
      </c>
      <c r="H28" s="11">
        <f>IF(AND(ISNUMBER(C28),ISNUMBER(F28)),(F28-C28),"")</f>
        <v/>
      </c>
    </row>
    <row r="29">
      <c r="A29" s="3" t="inlineStr">
        <is>
          <t>1200903</t>
        </is>
      </c>
      <c r="B29" s="3" t="inlineStr">
        <is>
          <t>606</t>
        </is>
      </c>
      <c r="C29" s="10" t="n">
        <v>45664.28900462963</v>
      </c>
      <c r="D29" s="3" t="inlineStr">
        <is>
          <t>OBT070125073416-Graz</t>
        </is>
      </c>
      <c r="E29" s="10" t="n">
        <v>45664.31546296296</v>
      </c>
      <c r="F29" s="10" t="n">
        <v>45664.35121527778</v>
      </c>
      <c r="G29" s="11">
        <f>IF(AND(ISNUMBER(C29),ISNUMBER(E29)),(E29-C29),"")</f>
        <v/>
      </c>
      <c r="H29" s="11">
        <f>IF(AND(ISNUMBER(C29),ISNUMBER(F29)),(F29-C29),"")</f>
        <v/>
      </c>
    </row>
    <row r="30">
      <c r="A30" s="3" t="inlineStr">
        <is>
          <t>1201001</t>
        </is>
      </c>
      <c r="B30" s="3" t="inlineStr">
        <is>
          <t>619</t>
        </is>
      </c>
      <c r="C30" s="10" t="n">
        <v>45664.29391203704</v>
      </c>
      <c r="D30" s="3" t="inlineStr">
        <is>
          <t>OBT070125170022-Vienna</t>
        </is>
      </c>
      <c r="E30" s="10" t="n">
        <v>45664.70858796296</v>
      </c>
      <c r="F30" s="10" t="n">
        <v>45664.74097222222</v>
      </c>
      <c r="G30" s="11">
        <f>IF(AND(ISNUMBER(C30),ISNUMBER(E30)),(E30-C30),"")</f>
        <v/>
      </c>
      <c r="H30" s="11">
        <f>IF(AND(ISNUMBER(C30),ISNUMBER(F30)),(F30-C30),"")</f>
        <v/>
      </c>
    </row>
    <row r="31">
      <c r="A31" s="3" t="inlineStr">
        <is>
          <t>1201002</t>
        </is>
      </c>
      <c r="B31" s="3" t="inlineStr">
        <is>
          <t>619</t>
        </is>
      </c>
      <c r="C31" s="10" t="n">
        <v>45664.29391203704</v>
      </c>
      <c r="D31" s="3" t="inlineStr">
        <is>
          <t>OBT070125170022-Vienna</t>
        </is>
      </c>
      <c r="E31" s="10" t="n">
        <v>45664.70858796296</v>
      </c>
      <c r="F31" s="10" t="n">
        <v>45664.74097222222</v>
      </c>
      <c r="G31" s="11">
        <f>IF(AND(ISNUMBER(C31),ISNUMBER(E31)),(E31-C31),"")</f>
        <v/>
      </c>
      <c r="H31" s="11">
        <f>IF(AND(ISNUMBER(C31),ISNUMBER(F31)),(F31-C31),"")</f>
        <v/>
      </c>
    </row>
    <row r="32">
      <c r="A32" s="3" t="inlineStr">
        <is>
          <t>1201003</t>
        </is>
      </c>
      <c r="B32" s="3" t="inlineStr">
        <is>
          <t>619</t>
        </is>
      </c>
      <c r="C32" s="10" t="n">
        <v>45664.29391203704</v>
      </c>
      <c r="D32" s="3" t="inlineStr">
        <is>
          <t>OBT070125170022-Vienna</t>
        </is>
      </c>
      <c r="E32" s="10" t="n">
        <v>45664.70858796296</v>
      </c>
      <c r="F32" s="10" t="n">
        <v>45664.74097222222</v>
      </c>
      <c r="G32" s="11">
        <f>IF(AND(ISNUMBER(C32),ISNUMBER(E32)),(E32-C32),"")</f>
        <v/>
      </c>
      <c r="H32" s="11">
        <f>IF(AND(ISNUMBER(C32),ISNUMBER(F32)),(F32-C32),"")</f>
        <v/>
      </c>
    </row>
    <row r="33">
      <c r="A33" s="3" t="inlineStr">
        <is>
          <t>1201101</t>
        </is>
      </c>
      <c r="B33" s="3" t="inlineStr">
        <is>
          <t>606</t>
        </is>
      </c>
      <c r="C33" s="10" t="n">
        <v>45664.30172453704</v>
      </c>
      <c r="D33" s="3" t="inlineStr">
        <is>
          <t>OBT070125073416-Graz</t>
        </is>
      </c>
      <c r="E33" s="10" t="n">
        <v>45664.31546296296</v>
      </c>
      <c r="F33" s="10" t="n">
        <v>45664.35121527778</v>
      </c>
      <c r="G33" s="11">
        <f>IF(AND(ISNUMBER(C33),ISNUMBER(E33)),(E33-C33),"")</f>
        <v/>
      </c>
      <c r="H33" s="11">
        <f>IF(AND(ISNUMBER(C33),ISNUMBER(F33)),(F33-C33),"")</f>
        <v/>
      </c>
    </row>
    <row r="34">
      <c r="A34" s="3" t="inlineStr">
        <is>
          <t>1201102</t>
        </is>
      </c>
      <c r="B34" s="3" t="inlineStr">
        <is>
          <t>606</t>
        </is>
      </c>
      <c r="C34" s="10" t="n">
        <v>45664.30172453704</v>
      </c>
      <c r="D34" s="3" t="inlineStr">
        <is>
          <t>OBT070125073416-Graz</t>
        </is>
      </c>
      <c r="E34" s="10" t="n">
        <v>45664.31546296296</v>
      </c>
      <c r="F34" s="10" t="n">
        <v>45664.35121527778</v>
      </c>
      <c r="G34" s="11">
        <f>IF(AND(ISNUMBER(C34),ISNUMBER(E34)),(E34-C34),"")</f>
        <v/>
      </c>
      <c r="H34" s="11">
        <f>IF(AND(ISNUMBER(C34),ISNUMBER(F34)),(F34-C34),"")</f>
        <v/>
      </c>
    </row>
    <row r="35">
      <c r="A35" s="3" t="inlineStr">
        <is>
          <t>1201103</t>
        </is>
      </c>
      <c r="B35" s="3" t="inlineStr">
        <is>
          <t>623</t>
        </is>
      </c>
      <c r="C35" s="10" t="n">
        <v>45664.30368055555</v>
      </c>
      <c r="D35" s="3" t="inlineStr">
        <is>
          <t>OBT070125074604-Salzburg</t>
        </is>
      </c>
      <c r="E35" s="10" t="n">
        <v>45664.32365740741</v>
      </c>
      <c r="F35" s="10" t="n">
        <v>45664.36814814815</v>
      </c>
      <c r="G35" s="11">
        <f>IF(AND(ISNUMBER(C35),ISNUMBER(E35)),(E35-C35),"")</f>
        <v/>
      </c>
      <c r="H35" s="11">
        <f>IF(AND(ISNUMBER(C35),ISNUMBER(F35)),(F35-C35),"")</f>
        <v/>
      </c>
    </row>
    <row r="36">
      <c r="A36" s="3" t="inlineStr">
        <is>
          <t>1201104</t>
        </is>
      </c>
      <c r="B36" s="3" t="inlineStr">
        <is>
          <t>623</t>
        </is>
      </c>
      <c r="C36" s="10" t="n">
        <v>45664.30368055555</v>
      </c>
      <c r="D36" s="3" t="inlineStr">
        <is>
          <t>OBT070125074604-Salzburg</t>
        </is>
      </c>
      <c r="E36" s="10" t="n">
        <v>45664.32365740741</v>
      </c>
      <c r="F36" s="10" t="n">
        <v>45664.36814814815</v>
      </c>
      <c r="G36" s="11">
        <f>IF(AND(ISNUMBER(C36),ISNUMBER(E36)),(E36-C36),"")</f>
        <v/>
      </c>
      <c r="H36" s="11">
        <f>IF(AND(ISNUMBER(C36),ISNUMBER(F36)),(F36-C36),"")</f>
        <v/>
      </c>
    </row>
    <row r="37">
      <c r="A37" s="3" t="inlineStr">
        <is>
          <t>1201201</t>
        </is>
      </c>
      <c r="B37" s="3" t="inlineStr">
        <is>
          <t>615</t>
        </is>
      </c>
      <c r="C37" s="10" t="n">
        <v>45664.55061342593</v>
      </c>
      <c r="D37" s="3" t="inlineStr">
        <is>
          <t>OBT070125133255-Linz</t>
        </is>
      </c>
      <c r="E37" s="10" t="n">
        <v>45664.56452546296</v>
      </c>
      <c r="F37" s="10" t="n">
        <v>45664.58835648148</v>
      </c>
      <c r="G37" s="11">
        <f>IF(AND(ISNUMBER(C37),ISNUMBER(E37)),(E37-C37),"")</f>
        <v/>
      </c>
      <c r="H37" s="11">
        <f>IF(AND(ISNUMBER(C37),ISNUMBER(F37)),(F37-C37),"")</f>
        <v/>
      </c>
    </row>
    <row r="38">
      <c r="A38" s="3" t="inlineStr">
        <is>
          <t>1201202</t>
        </is>
      </c>
      <c r="B38" s="3" t="inlineStr">
        <is>
          <t>615</t>
        </is>
      </c>
      <c r="C38" s="10" t="n">
        <v>45664.55061342593</v>
      </c>
      <c r="D38" s="3" t="inlineStr">
        <is>
          <t>OBT070125133255-Linz</t>
        </is>
      </c>
      <c r="E38" s="10" t="n">
        <v>45664.56452546296</v>
      </c>
      <c r="F38" s="10" t="n">
        <v>45664.58835648148</v>
      </c>
      <c r="G38" s="11">
        <f>IF(AND(ISNUMBER(C38),ISNUMBER(E38)),(E38-C38),"")</f>
        <v/>
      </c>
      <c r="H38" s="11">
        <f>IF(AND(ISNUMBER(C38),ISNUMBER(F38)),(F38-C38),"")</f>
        <v/>
      </c>
    </row>
    <row r="39">
      <c r="A39" s="3" t="inlineStr">
        <is>
          <t>1201203</t>
        </is>
      </c>
      <c r="B39" s="3" t="inlineStr">
        <is>
          <t>615</t>
        </is>
      </c>
      <c r="C39" s="10" t="n">
        <v>45664.55061342593</v>
      </c>
      <c r="D39" s="3" t="inlineStr">
        <is>
          <t>OBT070125133255-Linz</t>
        </is>
      </c>
      <c r="E39" s="10" t="n">
        <v>45664.56452546296</v>
      </c>
      <c r="F39" s="10" t="n">
        <v>45664.58835648148</v>
      </c>
      <c r="G39" s="11">
        <f>IF(AND(ISNUMBER(C39),ISNUMBER(E39)),(E39-C39),"")</f>
        <v/>
      </c>
      <c r="H39" s="11">
        <f>IF(AND(ISNUMBER(C39),ISNUMBER(F39)),(F39-C39),"")</f>
        <v/>
      </c>
    </row>
    <row r="40">
      <c r="A40" s="3" t="inlineStr">
        <is>
          <t>1201301</t>
        </is>
      </c>
      <c r="B40" s="3" t="inlineStr">
        <is>
          <t>619</t>
        </is>
      </c>
      <c r="C40" s="10" t="n">
        <v>45664.69671296296</v>
      </c>
      <c r="D40" s="3" t="inlineStr">
        <is>
          <t>OBT070125170022-Vienna</t>
        </is>
      </c>
      <c r="E40" s="10" t="n">
        <v>45664.70858796296</v>
      </c>
      <c r="F40" s="10" t="n">
        <v>45664.74097222222</v>
      </c>
      <c r="G40" s="11">
        <f>IF(AND(ISNUMBER(C40),ISNUMBER(E40)),(E40-C40),"")</f>
        <v/>
      </c>
      <c r="H40" s="11">
        <f>IF(AND(ISNUMBER(C40),ISNUMBER(F40)),(F40-C40),"")</f>
        <v/>
      </c>
    </row>
    <row r="41">
      <c r="A41" s="3" t="inlineStr">
        <is>
          <t>1201302</t>
        </is>
      </c>
      <c r="B41" s="3" t="inlineStr">
        <is>
          <t>619</t>
        </is>
      </c>
      <c r="C41" s="10" t="n">
        <v>45664.69671296296</v>
      </c>
      <c r="D41" s="3" t="inlineStr">
        <is>
          <t>OBT070125170022-Vienna</t>
        </is>
      </c>
      <c r="E41" s="10" t="n">
        <v>45664.70858796296</v>
      </c>
      <c r="F41" s="10" t="n">
        <v>45664.74097222222</v>
      </c>
      <c r="G41" s="11">
        <f>IF(AND(ISNUMBER(C41),ISNUMBER(E41)),(E41-C41),"")</f>
        <v/>
      </c>
      <c r="H41" s="11">
        <f>IF(AND(ISNUMBER(C41),ISNUMBER(F41)),(F41-C41),"")</f>
        <v/>
      </c>
    </row>
    <row r="42">
      <c r="A42" s="3" t="inlineStr">
        <is>
          <t>1201401</t>
        </is>
      </c>
      <c r="B42" s="3" t="inlineStr">
        <is>
          <t>615</t>
        </is>
      </c>
      <c r="C42" s="10" t="n">
        <v>45664.84140046296</v>
      </c>
      <c r="D42" s="3" t="inlineStr">
        <is>
          <t>OBT080125061853-Salzburg</t>
        </is>
      </c>
      <c r="E42" s="10" t="n">
        <v>45665.26311342593</v>
      </c>
      <c r="F42" s="10" t="n">
        <v>45665.28695601852</v>
      </c>
      <c r="G42" s="11">
        <f>IF(AND(ISNUMBER(C42),ISNUMBER(E42)),(E42-C42),"")</f>
        <v/>
      </c>
      <c r="H42" s="11">
        <f>IF(AND(ISNUMBER(C42),ISNUMBER(F42)),(F42-C42),"")</f>
        <v/>
      </c>
    </row>
    <row r="43">
      <c r="A43" s="3" t="inlineStr">
        <is>
          <t>1201402</t>
        </is>
      </c>
      <c r="B43" s="3" t="inlineStr">
        <is>
          <t>613</t>
        </is>
      </c>
      <c r="C43" s="10" t="n">
        <v>45664.84306712963</v>
      </c>
      <c r="D43" s="3" t="inlineStr">
        <is>
          <t>OBT080125061351-Vienna</t>
        </is>
      </c>
      <c r="E43" s="10" t="n">
        <v>45665.25961805556</v>
      </c>
      <c r="F43" s="10" t="n">
        <v>45665.2834375</v>
      </c>
      <c r="G43" s="11">
        <f>IF(AND(ISNUMBER(C43),ISNUMBER(E43)),(E43-C43),"")</f>
        <v/>
      </c>
      <c r="H43" s="11">
        <f>IF(AND(ISNUMBER(C43),ISNUMBER(F43)),(F43-C43),"")</f>
        <v/>
      </c>
    </row>
    <row r="44">
      <c r="A44" s="3" t="inlineStr">
        <is>
          <t>1201701</t>
        </is>
      </c>
      <c r="B44" s="3" t="inlineStr">
        <is>
          <t>627</t>
        </is>
      </c>
      <c r="C44" s="10" t="n">
        <v>45665.23891203704</v>
      </c>
      <c r="D44" s="3" t="inlineStr">
        <is>
          <t>OBT100125080623-Klagenfurt</t>
        </is>
      </c>
      <c r="E44" s="10" t="n">
        <v>45667.3377662037</v>
      </c>
      <c r="F44" s="10" t="n">
        <v>45667.36155092593</v>
      </c>
      <c r="G44" s="11">
        <f>IF(AND(ISNUMBER(C44),ISNUMBER(E44)),(E44-C44),"")</f>
        <v/>
      </c>
      <c r="H44" s="11">
        <f>IF(AND(ISNUMBER(C44),ISNUMBER(F44)),(F44-C44),"")</f>
        <v/>
      </c>
    </row>
    <row r="45">
      <c r="A45" s="3" t="inlineStr">
        <is>
          <t>1201702</t>
        </is>
      </c>
      <c r="B45" s="3" t="inlineStr">
        <is>
          <t>625</t>
        </is>
      </c>
      <c r="C45" s="10" t="n">
        <v>45665.24133101852</v>
      </c>
      <c r="D45" s="3" t="inlineStr">
        <is>
          <t>OBT080125094940-Budapest</t>
        </is>
      </c>
      <c r="E45" s="10" t="n">
        <v>45665.40949074074</v>
      </c>
      <c r="F45" s="10" t="n">
        <v>45665.44181712963</v>
      </c>
      <c r="G45" s="11">
        <f>IF(AND(ISNUMBER(C45),ISNUMBER(E45)),(E45-C45),"")</f>
        <v/>
      </c>
      <c r="H45" s="11">
        <f>IF(AND(ISNUMBER(C45),ISNUMBER(F45)),(F45-C45),"")</f>
        <v/>
      </c>
    </row>
    <row r="46">
      <c r="A46" s="3" t="inlineStr">
        <is>
          <t>1201601</t>
        </is>
      </c>
      <c r="B46" s="3" t="inlineStr">
        <is>
          <t>605</t>
        </is>
      </c>
      <c r="C46" s="10" t="n">
        <v>45665.24407407407</v>
      </c>
      <c r="D46" s="3" t="inlineStr">
        <is>
          <t>OBT080125095423-Graz</t>
        </is>
      </c>
      <c r="E46" s="10" t="n">
        <v>45665.41276620371</v>
      </c>
      <c r="F46" s="10" t="n">
        <v>45665.45729166667</v>
      </c>
      <c r="G46" s="11">
        <f>IF(AND(ISNUMBER(C46),ISNUMBER(E46)),(E46-C46),"")</f>
        <v/>
      </c>
      <c r="H46" s="11">
        <f>IF(AND(ISNUMBER(C46),ISNUMBER(F46)),(F46-C46),"")</f>
        <v/>
      </c>
    </row>
    <row r="47">
      <c r="A47" s="3" t="inlineStr">
        <is>
          <t>1201602</t>
        </is>
      </c>
      <c r="B47" s="3" t="inlineStr">
        <is>
          <t>605</t>
        </is>
      </c>
      <c r="C47" s="10" t="n">
        <v>45665.24407407407</v>
      </c>
      <c r="D47" s="3" t="inlineStr">
        <is>
          <t>OBT080125095423-Graz</t>
        </is>
      </c>
      <c r="E47" s="10" t="n">
        <v>45665.41276620371</v>
      </c>
      <c r="F47" s="10" t="n">
        <v>45665.45729166667</v>
      </c>
      <c r="G47" s="11">
        <f>IF(AND(ISNUMBER(C47),ISNUMBER(E47)),(E47-C47),"")</f>
        <v/>
      </c>
      <c r="H47" s="11">
        <f>IF(AND(ISNUMBER(C47),ISNUMBER(F47)),(F47-C47),"")</f>
        <v/>
      </c>
    </row>
    <row r="48">
      <c r="A48" s="3" t="inlineStr">
        <is>
          <t>1201501</t>
        </is>
      </c>
      <c r="B48" s="3" t="inlineStr">
        <is>
          <t>613</t>
        </is>
      </c>
      <c r="C48" s="10" t="n">
        <v>45665.24626157407</v>
      </c>
      <c r="D48" s="3" t="inlineStr">
        <is>
          <t>OBT080125061351-Vienna</t>
        </is>
      </c>
      <c r="E48" s="10" t="n">
        <v>45665.25961805556</v>
      </c>
      <c r="F48" s="10" t="n">
        <v>45665.2834375</v>
      </c>
      <c r="G48" s="11">
        <f>IF(AND(ISNUMBER(C48),ISNUMBER(E48)),(E48-C48),"")</f>
        <v/>
      </c>
      <c r="H48" s="11">
        <f>IF(AND(ISNUMBER(C48),ISNUMBER(F48)),(F48-C48),"")</f>
        <v/>
      </c>
    </row>
    <row r="49">
      <c r="A49" s="3" t="inlineStr">
        <is>
          <t>1201502</t>
        </is>
      </c>
      <c r="B49" s="3" t="inlineStr">
        <is>
          <t>615</t>
        </is>
      </c>
      <c r="C49" s="10" t="n">
        <v>45665.24760416667</v>
      </c>
      <c r="D49" s="3" t="inlineStr">
        <is>
          <t>OBT080125061853-Salzburg</t>
        </is>
      </c>
      <c r="E49" s="10" t="n">
        <v>45665.26311342593</v>
      </c>
      <c r="F49" s="10" t="n">
        <v>45665.28695601852</v>
      </c>
      <c r="G49" s="11">
        <f>IF(AND(ISNUMBER(C49),ISNUMBER(E49)),(E49-C49),"")</f>
        <v/>
      </c>
      <c r="H49" s="11">
        <f>IF(AND(ISNUMBER(C49),ISNUMBER(F49)),(F49-C49),"")</f>
        <v/>
      </c>
    </row>
    <row r="50">
      <c r="A50" s="3" t="inlineStr">
        <is>
          <t>1201503</t>
        </is>
      </c>
      <c r="B50" s="3" t="inlineStr">
        <is>
          <t>615</t>
        </is>
      </c>
      <c r="C50" s="10" t="n">
        <v>45665.24760416667</v>
      </c>
      <c r="D50" s="3" t="inlineStr">
        <is>
          <t>OBT080125061853-Salzburg</t>
        </is>
      </c>
      <c r="E50" s="10" t="n">
        <v>45665.26311342593</v>
      </c>
      <c r="F50" s="10" t="n">
        <v>45665.28695601852</v>
      </c>
      <c r="G50" s="11">
        <f>IF(AND(ISNUMBER(C50),ISNUMBER(E50)),(E50-C50),"")</f>
        <v/>
      </c>
      <c r="H50" s="11">
        <f>IF(AND(ISNUMBER(C50),ISNUMBER(F50)),(F50-C50),"")</f>
        <v/>
      </c>
    </row>
    <row r="51">
      <c r="A51" s="3" t="inlineStr">
        <is>
          <t>1201504</t>
        </is>
      </c>
      <c r="B51" s="3" t="inlineStr">
        <is>
          <t>613</t>
        </is>
      </c>
      <c r="C51" s="10" t="n">
        <v>45665.24899305555</v>
      </c>
      <c r="D51" s="3" t="inlineStr">
        <is>
          <t>OBT080125061351-Vienna</t>
        </is>
      </c>
      <c r="E51" s="10" t="n">
        <v>45665.25961805556</v>
      </c>
      <c r="F51" s="10" t="n">
        <v>45665.2834375</v>
      </c>
      <c r="G51" s="11">
        <f>IF(AND(ISNUMBER(C51),ISNUMBER(E51)),(E51-C51),"")</f>
        <v/>
      </c>
      <c r="H51" s="11">
        <f>IF(AND(ISNUMBER(C51),ISNUMBER(F51)),(F51-C51),"")</f>
        <v/>
      </c>
    </row>
    <row r="52">
      <c r="A52" s="3" t="inlineStr">
        <is>
          <t>1201801</t>
        </is>
      </c>
      <c r="B52" s="3" t="inlineStr">
        <is>
          <t>615</t>
        </is>
      </c>
      <c r="C52" s="10" t="n">
        <v>45665.38429398148</v>
      </c>
      <c r="D52" s="3" t="inlineStr">
        <is>
          <t>OBT080125145710-Innsbruck</t>
        </is>
      </c>
      <c r="E52" s="10" t="n">
        <v>45665.62303240741</v>
      </c>
      <c r="F52" s="10" t="n">
        <v>45665.64969907407</v>
      </c>
      <c r="G52" s="11">
        <f>IF(AND(ISNUMBER(C52),ISNUMBER(E52)),(E52-C52),"")</f>
        <v/>
      </c>
      <c r="H52" s="11">
        <f>IF(AND(ISNUMBER(C52),ISNUMBER(F52)),(F52-C52),"")</f>
        <v/>
      </c>
    </row>
    <row r="53">
      <c r="A53" s="3" t="inlineStr">
        <is>
          <t>1201802</t>
        </is>
      </c>
      <c r="B53" s="3" t="inlineStr">
        <is>
          <t>625</t>
        </is>
      </c>
      <c r="C53" s="10" t="n">
        <v>45665.38662037037</v>
      </c>
      <c r="D53" s="3" t="inlineStr">
        <is>
          <t>OBT080125094940-Budapest</t>
        </is>
      </c>
      <c r="E53" s="10" t="n">
        <v>45665.40949074074</v>
      </c>
      <c r="F53" s="10" t="n">
        <v>45665.44181712963</v>
      </c>
      <c r="G53" s="11">
        <f>IF(AND(ISNUMBER(C53),ISNUMBER(E53)),(E53-C53),"")</f>
        <v/>
      </c>
      <c r="H53" s="11">
        <f>IF(AND(ISNUMBER(C53),ISNUMBER(F53)),(F53-C53),"")</f>
        <v/>
      </c>
    </row>
    <row r="54">
      <c r="A54" s="3" t="inlineStr">
        <is>
          <t>1201803</t>
        </is>
      </c>
      <c r="B54" s="3" t="inlineStr">
        <is>
          <t>625</t>
        </is>
      </c>
      <c r="C54" s="10" t="n">
        <v>45665.38662037037</v>
      </c>
      <c r="D54" s="3" t="inlineStr">
        <is>
          <t>OBT080125094940-Budapest</t>
        </is>
      </c>
      <c r="E54" s="10" t="n">
        <v>45665.40949074074</v>
      </c>
      <c r="F54" s="10" t="n">
        <v>45665.44181712963</v>
      </c>
      <c r="G54" s="11">
        <f>IF(AND(ISNUMBER(C54),ISNUMBER(E54)),(E54-C54),"")</f>
        <v/>
      </c>
      <c r="H54" s="11">
        <f>IF(AND(ISNUMBER(C54),ISNUMBER(F54)),(F54-C54),"")</f>
        <v/>
      </c>
    </row>
    <row r="55">
      <c r="A55" s="3" t="inlineStr">
        <is>
          <t>1201804</t>
        </is>
      </c>
      <c r="B55" s="3" t="inlineStr">
        <is>
          <t>625</t>
        </is>
      </c>
      <c r="C55" s="10" t="n">
        <v>45665.38662037037</v>
      </c>
      <c r="D55" s="3" t="inlineStr">
        <is>
          <t>OBT080125094940-Budapest</t>
        </is>
      </c>
      <c r="E55" s="10" t="n">
        <v>45665.40949074074</v>
      </c>
      <c r="F55" s="10" t="n">
        <v>45665.44181712963</v>
      </c>
      <c r="G55" s="11">
        <f>IF(AND(ISNUMBER(C55),ISNUMBER(E55)),(E55-C55),"")</f>
        <v/>
      </c>
      <c r="H55" s="11">
        <f>IF(AND(ISNUMBER(C55),ISNUMBER(F55)),(F55-C55),"")</f>
        <v/>
      </c>
    </row>
    <row r="56">
      <c r="A56" s="3" t="inlineStr">
        <is>
          <t>1201805</t>
        </is>
      </c>
      <c r="B56" s="3" t="inlineStr">
        <is>
          <t>625</t>
        </is>
      </c>
      <c r="C56" s="10" t="n">
        <v>45665.38662037037</v>
      </c>
      <c r="D56" s="3" t="inlineStr">
        <is>
          <t>OBT080125094940-Budapest</t>
        </is>
      </c>
      <c r="E56" s="10" t="n">
        <v>45665.40949074074</v>
      </c>
      <c r="F56" s="10" t="n">
        <v>45665.44181712963</v>
      </c>
      <c r="G56" s="11">
        <f>IF(AND(ISNUMBER(C56),ISNUMBER(E56)),(E56-C56),"")</f>
        <v/>
      </c>
      <c r="H56" s="11">
        <f>IF(AND(ISNUMBER(C56),ISNUMBER(F56)),(F56-C56),"")</f>
        <v/>
      </c>
    </row>
    <row r="57">
      <c r="A57" s="3" t="inlineStr">
        <is>
          <t>1201901</t>
        </is>
      </c>
      <c r="B57" s="3" t="inlineStr">
        <is>
          <t>605</t>
        </is>
      </c>
      <c r="C57" s="10" t="n">
        <v>45665.38991898148</v>
      </c>
      <c r="D57" s="3" t="inlineStr">
        <is>
          <t>OBT080125095423-Graz</t>
        </is>
      </c>
      <c r="E57" s="10" t="n">
        <v>45665.41276620371</v>
      </c>
      <c r="F57" s="10" t="n">
        <v>45665.45729166667</v>
      </c>
      <c r="G57" s="11">
        <f>IF(AND(ISNUMBER(C57),ISNUMBER(E57)),(E57-C57),"")</f>
        <v/>
      </c>
      <c r="H57" s="11">
        <f>IF(AND(ISNUMBER(C57),ISNUMBER(F57)),(F57-C57),"")</f>
        <v/>
      </c>
    </row>
    <row r="58">
      <c r="A58" s="3" t="inlineStr">
        <is>
          <t>1201902</t>
        </is>
      </c>
      <c r="B58" s="3" t="inlineStr">
        <is>
          <t>605</t>
        </is>
      </c>
      <c r="C58" s="10" t="n">
        <v>45665.38991898148</v>
      </c>
      <c r="D58" s="3" t="inlineStr">
        <is>
          <t>OBT080125095423-Graz</t>
        </is>
      </c>
      <c r="E58" s="10" t="n">
        <v>45665.41276620371</v>
      </c>
      <c r="F58" s="10" t="n">
        <v>45665.45729166667</v>
      </c>
      <c r="G58" s="11">
        <f>IF(AND(ISNUMBER(C58),ISNUMBER(E58)),(E58-C58),"")</f>
        <v/>
      </c>
      <c r="H58" s="11">
        <f>IF(AND(ISNUMBER(C58),ISNUMBER(F58)),(F58-C58),"")</f>
        <v/>
      </c>
    </row>
    <row r="59">
      <c r="A59" s="3" t="inlineStr">
        <is>
          <t>1201903</t>
        </is>
      </c>
      <c r="B59" s="3" t="inlineStr">
        <is>
          <t>605</t>
        </is>
      </c>
      <c r="C59" s="10" t="n">
        <v>45665.38991898148</v>
      </c>
      <c r="D59" s="3" t="inlineStr">
        <is>
          <t>OBT080125095423-Graz</t>
        </is>
      </c>
      <c r="E59" s="10" t="n">
        <v>45665.41276620371</v>
      </c>
      <c r="F59" s="10" t="n">
        <v>45665.45729166667</v>
      </c>
      <c r="G59" s="11">
        <f>IF(AND(ISNUMBER(C59),ISNUMBER(E59)),(E59-C59),"")</f>
        <v/>
      </c>
      <c r="H59" s="11">
        <f>IF(AND(ISNUMBER(C59),ISNUMBER(F59)),(F59-C59),"")</f>
        <v/>
      </c>
    </row>
    <row r="60">
      <c r="A60" s="3" t="inlineStr">
        <is>
          <t>1202001</t>
        </is>
      </c>
      <c r="B60" s="3" t="inlineStr">
        <is>
          <t>613</t>
        </is>
      </c>
      <c r="C60" s="10" t="n">
        <v>45665.40592592592</v>
      </c>
      <c r="D60" s="3" t="inlineStr">
        <is>
          <t>OBT080125111223-Budapest</t>
        </is>
      </c>
      <c r="E60" s="10" t="n">
        <v>45665.46693287037</v>
      </c>
      <c r="F60" s="10" t="n">
        <v>45665.50479166667</v>
      </c>
      <c r="G60" s="11">
        <f>IF(AND(ISNUMBER(C60),ISNUMBER(E60)),(E60-C60),"")</f>
        <v/>
      </c>
      <c r="H60" s="11">
        <f>IF(AND(ISNUMBER(C60),ISNUMBER(F60)),(F60-C60),"")</f>
        <v/>
      </c>
    </row>
    <row r="61">
      <c r="A61" s="3" t="inlineStr">
        <is>
          <t>1202002</t>
        </is>
      </c>
      <c r="B61" s="3" t="inlineStr">
        <is>
          <t>623</t>
        </is>
      </c>
      <c r="C61" s="10" t="n">
        <v>45665.40802083333</v>
      </c>
      <c r="D61" s="3" t="inlineStr">
        <is>
          <t>OBT080125101213-Vienna</t>
        </is>
      </c>
      <c r="E61" s="10" t="n">
        <v>45665.42515046296</v>
      </c>
      <c r="F61" s="10" t="n">
        <v>45665.45832175926</v>
      </c>
      <c r="G61" s="11">
        <f>IF(AND(ISNUMBER(C61),ISNUMBER(E61)),(E61-C61),"")</f>
        <v/>
      </c>
      <c r="H61" s="11">
        <f>IF(AND(ISNUMBER(C61),ISNUMBER(F61)),(F61-C61),"")</f>
        <v/>
      </c>
    </row>
    <row r="62">
      <c r="A62" s="3" t="inlineStr">
        <is>
          <t>1202003</t>
        </is>
      </c>
      <c r="B62" s="3" t="inlineStr">
        <is>
          <t>623</t>
        </is>
      </c>
      <c r="C62" s="10" t="n">
        <v>45665.40802083333</v>
      </c>
      <c r="D62" s="3" t="inlineStr">
        <is>
          <t>OBT080125101213-Vienna</t>
        </is>
      </c>
      <c r="E62" s="10" t="n">
        <v>45665.42515046296</v>
      </c>
      <c r="F62" s="10" t="n">
        <v>45665.45832175926</v>
      </c>
      <c r="G62" s="11">
        <f>IF(AND(ISNUMBER(C62),ISNUMBER(E62)),(E62-C62),"")</f>
        <v/>
      </c>
      <c r="H62" s="11">
        <f>IF(AND(ISNUMBER(C62),ISNUMBER(F62)),(F62-C62),"")</f>
        <v/>
      </c>
    </row>
    <row r="63">
      <c r="A63" s="3" t="inlineStr">
        <is>
          <t>1202004</t>
        </is>
      </c>
      <c r="B63" s="3" t="inlineStr">
        <is>
          <t>623</t>
        </is>
      </c>
      <c r="C63" s="10" t="n">
        <v>45665.40802083333</v>
      </c>
      <c r="D63" s="3" t="inlineStr">
        <is>
          <t>OBT080125101213-Vienna</t>
        </is>
      </c>
      <c r="E63" s="10" t="n">
        <v>45665.42515046296</v>
      </c>
      <c r="F63" s="10" t="n">
        <v>45665.45832175926</v>
      </c>
      <c r="G63" s="11">
        <f>IF(AND(ISNUMBER(C63),ISNUMBER(E63)),(E63-C63),"")</f>
        <v/>
      </c>
      <c r="H63" s="11">
        <f>IF(AND(ISNUMBER(C63),ISNUMBER(F63)),(F63-C63),"")</f>
        <v/>
      </c>
    </row>
    <row r="64">
      <c r="A64" s="3" t="inlineStr">
        <is>
          <t>1202101</t>
        </is>
      </c>
      <c r="B64" s="3" t="inlineStr">
        <is>
          <t>619</t>
        </is>
      </c>
      <c r="C64" s="10" t="n">
        <v>45665.41243055555</v>
      </c>
      <c r="D64" s="3" t="inlineStr">
        <is>
          <t>OBT080125101621-Graz</t>
        </is>
      </c>
      <c r="E64" s="10" t="n">
        <v>45665.42802083334</v>
      </c>
      <c r="F64" s="10" t="n">
        <v>45665.48655092593</v>
      </c>
      <c r="G64" s="11">
        <f>IF(AND(ISNUMBER(C64),ISNUMBER(E64)),(E64-C64),"")</f>
        <v/>
      </c>
      <c r="H64" s="11">
        <f>IF(AND(ISNUMBER(C64),ISNUMBER(F64)),(F64-C64),"")</f>
        <v/>
      </c>
    </row>
    <row r="65">
      <c r="A65" s="3" t="inlineStr">
        <is>
          <t>1202102</t>
        </is>
      </c>
      <c r="B65" s="3" t="inlineStr">
        <is>
          <t>619</t>
        </is>
      </c>
      <c r="C65" s="10" t="n">
        <v>45665.41243055555</v>
      </c>
      <c r="D65" s="3" t="inlineStr">
        <is>
          <t>OBT080125101621-Graz</t>
        </is>
      </c>
      <c r="E65" s="10" t="n">
        <v>45665.42802083334</v>
      </c>
      <c r="F65" s="10" t="n">
        <v>45665.48655092593</v>
      </c>
      <c r="G65" s="11">
        <f>IF(AND(ISNUMBER(C65),ISNUMBER(E65)),(E65-C65),"")</f>
        <v/>
      </c>
      <c r="H65" s="11">
        <f>IF(AND(ISNUMBER(C65),ISNUMBER(F65)),(F65-C65),"")</f>
        <v/>
      </c>
    </row>
    <row r="66">
      <c r="A66" s="3" t="inlineStr">
        <is>
          <t>1202103</t>
        </is>
      </c>
      <c r="B66" s="3" t="inlineStr">
        <is>
          <t>619</t>
        </is>
      </c>
      <c r="C66" s="10" t="n">
        <v>45665.41243055555</v>
      </c>
      <c r="D66" s="3" t="inlineStr">
        <is>
          <t>OBT080125101621-Graz</t>
        </is>
      </c>
      <c r="E66" s="10" t="n">
        <v>45665.42802083334</v>
      </c>
      <c r="F66" s="10" t="n">
        <v>45665.48655092593</v>
      </c>
      <c r="G66" s="11">
        <f>IF(AND(ISNUMBER(C66),ISNUMBER(E66)),(E66-C66),"")</f>
        <v/>
      </c>
      <c r="H66" s="11">
        <f>IF(AND(ISNUMBER(C66),ISNUMBER(F66)),(F66-C66),"")</f>
        <v/>
      </c>
    </row>
    <row r="67">
      <c r="A67" s="3" t="inlineStr">
        <is>
          <t>1202201</t>
        </is>
      </c>
      <c r="B67" s="3" t="inlineStr">
        <is>
          <t>613</t>
        </is>
      </c>
      <c r="C67" s="10" t="n">
        <v>45665.43078703704</v>
      </c>
      <c r="D67" s="3" t="inlineStr">
        <is>
          <t>OBT080125111223-Budapest</t>
        </is>
      </c>
      <c r="E67" s="10" t="n">
        <v>45665.46693287037</v>
      </c>
      <c r="F67" s="10" t="n">
        <v>45665.50479166667</v>
      </c>
      <c r="G67" s="11">
        <f>IF(AND(ISNUMBER(C67),ISNUMBER(E67)),(E67-C67),"")</f>
        <v/>
      </c>
      <c r="H67" s="11">
        <f>IF(AND(ISNUMBER(C67),ISNUMBER(F67)),(F67-C67),"")</f>
        <v/>
      </c>
    </row>
    <row r="68">
      <c r="A68" s="3" t="inlineStr">
        <is>
          <t>1202202</t>
        </is>
      </c>
      <c r="B68" s="3" t="inlineStr">
        <is>
          <t>613</t>
        </is>
      </c>
      <c r="C68" s="10" t="n">
        <v>45665.43078703704</v>
      </c>
      <c r="D68" s="3" t="inlineStr">
        <is>
          <t>OBT080125111223-Budapest</t>
        </is>
      </c>
      <c r="E68" s="10" t="n">
        <v>45665.46693287037</v>
      </c>
      <c r="F68" s="10" t="n">
        <v>45665.50479166667</v>
      </c>
      <c r="G68" s="11">
        <f>IF(AND(ISNUMBER(C68),ISNUMBER(E68)),(E68-C68),"")</f>
        <v/>
      </c>
      <c r="H68" s="11">
        <f>IF(AND(ISNUMBER(C68),ISNUMBER(F68)),(F68-C68),"")</f>
        <v/>
      </c>
    </row>
    <row r="69">
      <c r="A69" s="3" t="inlineStr">
        <is>
          <t>1202203</t>
        </is>
      </c>
      <c r="B69" s="3" t="inlineStr">
        <is>
          <t>613</t>
        </is>
      </c>
      <c r="C69" s="10" t="n">
        <v>45665.43078703704</v>
      </c>
      <c r="D69" s="3" t="inlineStr">
        <is>
          <t>OBT080125111223-Budapest</t>
        </is>
      </c>
      <c r="E69" s="10" t="n">
        <v>45665.46693287037</v>
      </c>
      <c r="F69" s="10" t="n">
        <v>45665.50479166667</v>
      </c>
      <c r="G69" s="11">
        <f>IF(AND(ISNUMBER(C69),ISNUMBER(E69)),(E69-C69),"")</f>
        <v/>
      </c>
      <c r="H69" s="11">
        <f>IF(AND(ISNUMBER(C69),ISNUMBER(F69)),(F69-C69),"")</f>
        <v/>
      </c>
    </row>
    <row r="70">
      <c r="A70" s="3" t="inlineStr">
        <is>
          <t>1202204</t>
        </is>
      </c>
      <c r="B70" s="3" t="inlineStr">
        <is>
          <t>606</t>
        </is>
      </c>
      <c r="C70" s="10" t="n">
        <v>45665.43265046296</v>
      </c>
      <c r="D70" s="3" t="inlineStr">
        <is>
          <t>OBT080125144107-Salzburg</t>
        </is>
      </c>
      <c r="E70" s="10" t="n">
        <v>45665.61188657407</v>
      </c>
      <c r="F70" s="10" t="n">
        <v>45665.63575231482</v>
      </c>
      <c r="G70" s="11">
        <f>IF(AND(ISNUMBER(C70),ISNUMBER(E70)),(E70-C70),"")</f>
        <v/>
      </c>
      <c r="H70" s="11">
        <f>IF(AND(ISNUMBER(C70),ISNUMBER(F70)),(F70-C70),"")</f>
        <v/>
      </c>
    </row>
    <row r="71">
      <c r="A71" s="3" t="inlineStr">
        <is>
          <t>1202301</t>
        </is>
      </c>
      <c r="B71" s="3" t="inlineStr">
        <is>
          <t>606</t>
        </is>
      </c>
      <c r="C71" s="10" t="n">
        <v>45665.60369212963</v>
      </c>
      <c r="D71" s="3" t="inlineStr">
        <is>
          <t>OBT080125144107-Salzburg</t>
        </is>
      </c>
      <c r="E71" s="10" t="n">
        <v>45665.61188657407</v>
      </c>
      <c r="F71" s="10" t="n">
        <v>45665.63575231482</v>
      </c>
      <c r="G71" s="11">
        <f>IF(AND(ISNUMBER(C71),ISNUMBER(E71)),(E71-C71),"")</f>
        <v/>
      </c>
      <c r="H71" s="11">
        <f>IF(AND(ISNUMBER(C71),ISNUMBER(F71)),(F71-C71),"")</f>
        <v/>
      </c>
    </row>
    <row r="72">
      <c r="A72" s="3" t="inlineStr">
        <is>
          <t>1202302</t>
        </is>
      </c>
      <c r="B72" s="3" t="inlineStr">
        <is>
          <t>615</t>
        </is>
      </c>
      <c r="C72" s="10" t="n">
        <v>45665.60506944444</v>
      </c>
      <c r="D72" s="3" t="inlineStr">
        <is>
          <t>OBT080125145710-Innsbruck</t>
        </is>
      </c>
      <c r="E72" s="10" t="n">
        <v>45665.62303240741</v>
      </c>
      <c r="F72" s="10" t="n">
        <v>45665.64969907407</v>
      </c>
      <c r="G72" s="11">
        <f>IF(AND(ISNUMBER(C72),ISNUMBER(E72)),(E72-C72),"")</f>
        <v/>
      </c>
      <c r="H72" s="11">
        <f>IF(AND(ISNUMBER(C72),ISNUMBER(F72)),(F72-C72),"")</f>
        <v/>
      </c>
    </row>
    <row r="73">
      <c r="A73" s="3" t="inlineStr">
        <is>
          <t>1202303</t>
        </is>
      </c>
      <c r="B73" s="3" t="inlineStr">
        <is>
          <t>615</t>
        </is>
      </c>
      <c r="C73" s="10" t="n">
        <v>45665.60506944444</v>
      </c>
      <c r="D73" s="3" t="inlineStr">
        <is>
          <t>OBT080125145710-Innsbruck</t>
        </is>
      </c>
      <c r="E73" s="10" t="n">
        <v>45665.62303240741</v>
      </c>
      <c r="F73" s="10" t="n">
        <v>45665.64969907407</v>
      </c>
      <c r="G73" s="11">
        <f>IF(AND(ISNUMBER(C73),ISNUMBER(E73)),(E73-C73),"")</f>
        <v/>
      </c>
      <c r="H73" s="11">
        <f>IF(AND(ISNUMBER(C73),ISNUMBER(F73)),(F73-C73),"")</f>
        <v/>
      </c>
    </row>
    <row r="74">
      <c r="A74" s="3" t="inlineStr">
        <is>
          <t>1202401</t>
        </is>
      </c>
      <c r="B74" s="3" t="inlineStr">
        <is>
          <t>615</t>
        </is>
      </c>
      <c r="C74" s="10" t="n">
        <v>45665.75873842592</v>
      </c>
      <c r="D74" s="3" t="inlineStr">
        <is>
          <t>OBT080125183013-Graz</t>
        </is>
      </c>
      <c r="E74" s="10" t="n">
        <v>45665.7709837963</v>
      </c>
      <c r="F74" s="10" t="n">
        <v>45665.79200231482</v>
      </c>
      <c r="G74" s="11">
        <f>IF(AND(ISNUMBER(C74),ISNUMBER(E74)),(E74-C74),"")</f>
        <v/>
      </c>
      <c r="H74" s="11">
        <f>IF(AND(ISNUMBER(C74),ISNUMBER(F74)),(F74-C74),"")</f>
        <v/>
      </c>
    </row>
    <row r="75">
      <c r="A75" s="3" t="inlineStr">
        <is>
          <t>1202402</t>
        </is>
      </c>
      <c r="B75" s="3" t="inlineStr">
        <is>
          <t>615</t>
        </is>
      </c>
      <c r="C75" s="10" t="n">
        <v>45665.75873842592</v>
      </c>
      <c r="D75" s="3" t="inlineStr">
        <is>
          <t>OBT080125183013-Graz</t>
        </is>
      </c>
      <c r="E75" s="10" t="n">
        <v>45665.7709837963</v>
      </c>
      <c r="F75" s="10" t="n">
        <v>45665.79200231482</v>
      </c>
      <c r="G75" s="11">
        <f>IF(AND(ISNUMBER(C75),ISNUMBER(E75)),(E75-C75),"")</f>
        <v/>
      </c>
      <c r="H75" s="11">
        <f>IF(AND(ISNUMBER(C75),ISNUMBER(F75)),(F75-C75),"")</f>
        <v/>
      </c>
    </row>
    <row r="76">
      <c r="A76" s="3" t="inlineStr">
        <is>
          <t>1202501</t>
        </is>
      </c>
      <c r="B76" s="3" t="inlineStr">
        <is>
          <t>615</t>
        </is>
      </c>
      <c r="C76" s="10" t="n">
        <v>45665.90674768519</v>
      </c>
      <c r="D76" s="3" t="inlineStr">
        <is>
          <t>OBT080125222429-Budapest</t>
        </is>
      </c>
      <c r="E76" s="10" t="n">
        <v>45665.93366898148</v>
      </c>
      <c r="F76" s="10" t="n">
        <v>45665.98001157407</v>
      </c>
      <c r="G76" s="11">
        <f>IF(AND(ISNUMBER(C76),ISNUMBER(E76)),(E76-C76),"")</f>
        <v/>
      </c>
      <c r="H76" s="11">
        <f>IF(AND(ISNUMBER(C76),ISNUMBER(F76)),(F76-C76),"")</f>
        <v/>
      </c>
    </row>
    <row r="77">
      <c r="A77" s="3" t="inlineStr">
        <is>
          <t>1202502</t>
        </is>
      </c>
      <c r="B77" s="3" t="inlineStr">
        <is>
          <t>615</t>
        </is>
      </c>
      <c r="C77" s="10" t="n">
        <v>45665.90674768519</v>
      </c>
      <c r="D77" s="3" t="inlineStr">
        <is>
          <t>OBT080125222429-Budapest</t>
        </is>
      </c>
      <c r="E77" s="10" t="n">
        <v>45665.93366898148</v>
      </c>
      <c r="F77" s="10" t="n">
        <v>45665.98001157407</v>
      </c>
      <c r="G77" s="11">
        <f>IF(AND(ISNUMBER(C77),ISNUMBER(E77)),(E77-C77),"")</f>
        <v/>
      </c>
      <c r="H77" s="11">
        <f>IF(AND(ISNUMBER(C77),ISNUMBER(F77)),(F77-C77),"")</f>
        <v/>
      </c>
    </row>
    <row r="78">
      <c r="A78" s="3" t="inlineStr">
        <is>
          <t>1202503</t>
        </is>
      </c>
      <c r="B78" s="3" t="inlineStr">
        <is>
          <t>615</t>
        </is>
      </c>
      <c r="C78" s="10" t="n">
        <v>45665.90674768519</v>
      </c>
      <c r="D78" s="3" t="inlineStr">
        <is>
          <t>OBT080125222429-Budapest</t>
        </is>
      </c>
      <c r="E78" s="10" t="n">
        <v>45665.93366898148</v>
      </c>
      <c r="F78" s="10" t="n">
        <v>45665.98001157407</v>
      </c>
      <c r="G78" s="11">
        <f>IF(AND(ISNUMBER(C78),ISNUMBER(E78)),(E78-C78),"")</f>
        <v/>
      </c>
      <c r="H78" s="11">
        <f>IF(AND(ISNUMBER(C78),ISNUMBER(F78)),(F78-C78),"")</f>
        <v/>
      </c>
    </row>
    <row r="79">
      <c r="A79" s="3" t="inlineStr">
        <is>
          <t>1202504</t>
        </is>
      </c>
      <c r="B79" s="3" t="inlineStr">
        <is>
          <t>615</t>
        </is>
      </c>
      <c r="C79" s="10" t="n">
        <v>45665.90674768519</v>
      </c>
      <c r="D79" s="3" t="inlineStr">
        <is>
          <t>OBT080125222429-Budapest</t>
        </is>
      </c>
      <c r="E79" s="10" t="n">
        <v>45665.93366898148</v>
      </c>
      <c r="F79" s="10" t="n">
        <v>45665.98001157407</v>
      </c>
      <c r="G79" s="11">
        <f>IF(AND(ISNUMBER(C79),ISNUMBER(E79)),(E79-C79),"")</f>
        <v/>
      </c>
      <c r="H79" s="11">
        <f>IF(AND(ISNUMBER(C79),ISNUMBER(F79)),(F79-C79),"")</f>
        <v/>
      </c>
    </row>
    <row r="80">
      <c r="A80" s="3" t="inlineStr">
        <is>
          <t>1202505</t>
        </is>
      </c>
      <c r="B80" s="3" t="inlineStr">
        <is>
          <t>615</t>
        </is>
      </c>
      <c r="C80" s="10" t="n">
        <v>45665.90674768519</v>
      </c>
      <c r="D80" s="3" t="inlineStr">
        <is>
          <t>OBT080125222429-Budapest</t>
        </is>
      </c>
      <c r="E80" s="10" t="n">
        <v>45665.93366898148</v>
      </c>
      <c r="F80" s="10" t="n">
        <v>45665.98001157407</v>
      </c>
      <c r="G80" s="11">
        <f>IF(AND(ISNUMBER(C80),ISNUMBER(E80)),(E80-C80),"")</f>
        <v/>
      </c>
      <c r="H80" s="11">
        <f>IF(AND(ISNUMBER(C80),ISNUMBER(F80)),(F80-C80),"")</f>
        <v/>
      </c>
    </row>
    <row r="81">
      <c r="A81" s="3" t="inlineStr">
        <is>
          <t>1202601</t>
        </is>
      </c>
      <c r="B81" s="3" t="inlineStr">
        <is>
          <t>615</t>
        </is>
      </c>
      <c r="C81" s="10" t="n">
        <v>45666.21719907408</v>
      </c>
      <c r="D81" s="3" t="inlineStr">
        <is>
          <t>OBT090125054651-Salzburg</t>
        </is>
      </c>
      <c r="E81" s="10" t="n">
        <v>45666.24086805555</v>
      </c>
      <c r="F81" s="10" t="n">
        <v>45666.26836805556</v>
      </c>
      <c r="G81" s="11">
        <f>IF(AND(ISNUMBER(C81),ISNUMBER(E81)),(E81-C81),"")</f>
        <v/>
      </c>
      <c r="H81" s="11">
        <f>IF(AND(ISNUMBER(C81),ISNUMBER(F81)),(F81-C81),"")</f>
        <v/>
      </c>
    </row>
    <row r="82">
      <c r="A82" s="3" t="inlineStr">
        <is>
          <t>1202602</t>
        </is>
      </c>
      <c r="B82" s="3" t="inlineStr">
        <is>
          <t>615</t>
        </is>
      </c>
      <c r="C82" s="10" t="n">
        <v>45666.21719907408</v>
      </c>
      <c r="D82" s="3" t="inlineStr">
        <is>
          <t>OBT090125054651-Salzburg</t>
        </is>
      </c>
      <c r="E82" s="10" t="n">
        <v>45666.24086805555</v>
      </c>
      <c r="F82" s="10" t="n">
        <v>45666.26836805556</v>
      </c>
      <c r="G82" s="11">
        <f>IF(AND(ISNUMBER(C82),ISNUMBER(E82)),(E82-C82),"")</f>
        <v/>
      </c>
      <c r="H82" s="11">
        <f>IF(AND(ISNUMBER(C82),ISNUMBER(F82)),(F82-C82),"")</f>
        <v/>
      </c>
    </row>
    <row r="83">
      <c r="A83" s="3" t="inlineStr">
        <is>
          <t>1202603</t>
        </is>
      </c>
      <c r="B83" s="3" t="inlineStr">
        <is>
          <t>613</t>
        </is>
      </c>
      <c r="C83" s="10" t="n">
        <v>45666.21850694445</v>
      </c>
      <c r="D83" s="3" t="inlineStr">
        <is>
          <t>OBT090125062930-Linz</t>
        </is>
      </c>
      <c r="E83" s="10" t="n">
        <v>45666.27048611111</v>
      </c>
      <c r="F83" s="10" t="n">
        <v>45666.3228125</v>
      </c>
      <c r="G83" s="11">
        <f>IF(AND(ISNUMBER(C83),ISNUMBER(E83)),(E83-C83),"")</f>
        <v/>
      </c>
      <c r="H83" s="11">
        <f>IF(AND(ISNUMBER(C83),ISNUMBER(F83)),(F83-C83),"")</f>
        <v/>
      </c>
    </row>
    <row r="84">
      <c r="A84" s="3" t="inlineStr">
        <is>
          <t>1202701</t>
        </is>
      </c>
      <c r="B84" s="3" t="inlineStr">
        <is>
          <t>625</t>
        </is>
      </c>
      <c r="C84" s="10" t="n">
        <v>45666.22451388889</v>
      </c>
      <c r="D84" s="3" t="inlineStr">
        <is>
          <t>OBT090125055020-Vienna</t>
        </is>
      </c>
      <c r="E84" s="10" t="n">
        <v>45666.24328703704</v>
      </c>
      <c r="F84" s="10" t="n">
        <v>45666.27719907407</v>
      </c>
      <c r="G84" s="11">
        <f>IF(AND(ISNUMBER(C84),ISNUMBER(E84)),(E84-C84),"")</f>
        <v/>
      </c>
      <c r="H84" s="11">
        <f>IF(AND(ISNUMBER(C84),ISNUMBER(F84)),(F84-C84),"")</f>
        <v/>
      </c>
    </row>
    <row r="85">
      <c r="A85" s="3" t="inlineStr">
        <is>
          <t>1202702</t>
        </is>
      </c>
      <c r="B85" s="3" t="inlineStr">
        <is>
          <t>625</t>
        </is>
      </c>
      <c r="C85" s="10" t="n">
        <v>45666.22451388889</v>
      </c>
      <c r="D85" s="3" t="inlineStr">
        <is>
          <t>OBT090125055020-Vienna</t>
        </is>
      </c>
      <c r="E85" s="10" t="n">
        <v>45666.24328703704</v>
      </c>
      <c r="F85" s="10" t="n">
        <v>45666.27719907407</v>
      </c>
      <c r="G85" s="11">
        <f>IF(AND(ISNUMBER(C85),ISNUMBER(E85)),(E85-C85),"")</f>
        <v/>
      </c>
      <c r="H85" s="11">
        <f>IF(AND(ISNUMBER(C85),ISNUMBER(F85)),(F85-C85),"")</f>
        <v/>
      </c>
    </row>
    <row r="86">
      <c r="A86" s="3" t="inlineStr">
        <is>
          <t>1202703</t>
        </is>
      </c>
      <c r="B86" s="3" t="inlineStr">
        <is>
          <t>625</t>
        </is>
      </c>
      <c r="C86" s="10" t="n">
        <v>45666.22451388889</v>
      </c>
      <c r="D86" s="3" t="inlineStr">
        <is>
          <t>OBT090125055020-Vienna</t>
        </is>
      </c>
      <c r="E86" s="10" t="n">
        <v>45666.24328703704</v>
      </c>
      <c r="F86" s="10" t="n">
        <v>45666.27719907407</v>
      </c>
      <c r="G86" s="11">
        <f>IF(AND(ISNUMBER(C86),ISNUMBER(E86)),(E86-C86),"")</f>
        <v/>
      </c>
      <c r="H86" s="11">
        <f>IF(AND(ISNUMBER(C86),ISNUMBER(F86)),(F86-C86),"")</f>
        <v/>
      </c>
    </row>
    <row r="87">
      <c r="A87" s="3" t="inlineStr">
        <is>
          <t>1202801</t>
        </is>
      </c>
      <c r="B87" s="3" t="inlineStr">
        <is>
          <t>615</t>
        </is>
      </c>
      <c r="C87" s="10" t="n">
        <v>45666.23269675926</v>
      </c>
      <c r="D87" s="3" t="inlineStr">
        <is>
          <t>OBT090125054651-Salzburg</t>
        </is>
      </c>
      <c r="E87" s="10" t="n">
        <v>45666.24086805555</v>
      </c>
      <c r="F87" s="10" t="n">
        <v>45666.26836805556</v>
      </c>
      <c r="G87" s="11">
        <f>IF(AND(ISNUMBER(C87),ISNUMBER(E87)),(E87-C87),"")</f>
        <v/>
      </c>
      <c r="H87" s="11">
        <f>IF(AND(ISNUMBER(C87),ISNUMBER(F87)),(F87-C87),"")</f>
        <v/>
      </c>
    </row>
    <row r="88">
      <c r="A88" s="3" t="inlineStr">
        <is>
          <t>1202802</t>
        </is>
      </c>
      <c r="B88" s="3" t="inlineStr">
        <is>
          <t>605</t>
        </is>
      </c>
      <c r="C88" s="10" t="n">
        <v>45666.23449074074</v>
      </c>
      <c r="D88" s="3" t="inlineStr">
        <is>
          <t>OBT090125062427-Graz</t>
        </is>
      </c>
      <c r="E88" s="10" t="n">
        <v>45666.26697916666</v>
      </c>
      <c r="F88" s="10" t="n">
        <v>45666.3181712963</v>
      </c>
      <c r="G88" s="11">
        <f>IF(AND(ISNUMBER(C88),ISNUMBER(E88)),(E88-C88),"")</f>
        <v/>
      </c>
      <c r="H88" s="11">
        <f>IF(AND(ISNUMBER(C88),ISNUMBER(F88)),(F88-C88),"")</f>
        <v/>
      </c>
    </row>
    <row r="89">
      <c r="A89" s="3" t="inlineStr">
        <is>
          <t>1202803</t>
        </is>
      </c>
      <c r="B89" s="3" t="inlineStr">
        <is>
          <t>627</t>
        </is>
      </c>
      <c r="C89" s="10" t="n">
        <v>45666.23648148148</v>
      </c>
      <c r="D89" s="3" t="inlineStr">
        <is>
          <t>OBT100125080623-Klagenfurt</t>
        </is>
      </c>
      <c r="E89" s="10" t="n">
        <v>45667.3377662037</v>
      </c>
      <c r="F89" s="10" t="n">
        <v>45667.36155092593</v>
      </c>
      <c r="G89" s="11">
        <f>IF(AND(ISNUMBER(C89),ISNUMBER(E89)),(E89-C89),"")</f>
        <v/>
      </c>
      <c r="H89" s="11">
        <f>IF(AND(ISNUMBER(C89),ISNUMBER(F89)),(F89-C89),"")</f>
        <v/>
      </c>
    </row>
    <row r="90">
      <c r="A90" s="3" t="inlineStr">
        <is>
          <t>1202804</t>
        </is>
      </c>
      <c r="B90" s="3" t="inlineStr">
        <is>
          <t>605</t>
        </is>
      </c>
      <c r="C90" s="10" t="n">
        <v>45666.23824074074</v>
      </c>
      <c r="D90" s="3" t="inlineStr">
        <is>
          <t>OBT090125062427-Graz</t>
        </is>
      </c>
      <c r="E90" s="10" t="n">
        <v>45666.26697916666</v>
      </c>
      <c r="F90" s="10" t="n">
        <v>45666.3181712963</v>
      </c>
      <c r="G90" s="11">
        <f>IF(AND(ISNUMBER(C90),ISNUMBER(E90)),(E90-C90),"")</f>
        <v/>
      </c>
      <c r="H90" s="11">
        <f>IF(AND(ISNUMBER(C90),ISNUMBER(F90)),(F90-C90),"")</f>
        <v/>
      </c>
    </row>
    <row r="91">
      <c r="A91" s="3" t="inlineStr">
        <is>
          <t>1202901</t>
        </is>
      </c>
      <c r="B91" s="3" t="inlineStr">
        <is>
          <t>613</t>
        </is>
      </c>
      <c r="C91" s="10" t="n">
        <v>45666.24079861111</v>
      </c>
      <c r="D91" s="3" t="inlineStr">
        <is>
          <t>OBT090125062930-Linz</t>
        </is>
      </c>
      <c r="E91" s="10" t="n">
        <v>45666.27048611111</v>
      </c>
      <c r="F91" s="10" t="n">
        <v>45666.3228125</v>
      </c>
      <c r="G91" s="11">
        <f>IF(AND(ISNUMBER(C91),ISNUMBER(E91)),(E91-C91),"")</f>
        <v/>
      </c>
      <c r="H91" s="11">
        <f>IF(AND(ISNUMBER(C91),ISNUMBER(F91)),(F91-C91),"")</f>
        <v/>
      </c>
    </row>
    <row r="92">
      <c r="A92" s="3" t="inlineStr">
        <is>
          <t>1202902</t>
        </is>
      </c>
      <c r="B92" s="3" t="inlineStr">
        <is>
          <t>613</t>
        </is>
      </c>
      <c r="C92" s="10" t="n">
        <v>45666.24079861111</v>
      </c>
      <c r="D92" s="3" t="inlineStr">
        <is>
          <t>OBT090125062930-Linz</t>
        </is>
      </c>
      <c r="E92" s="10" t="n">
        <v>45666.27048611111</v>
      </c>
      <c r="F92" s="10" t="n">
        <v>45666.3228125</v>
      </c>
      <c r="G92" s="11">
        <f>IF(AND(ISNUMBER(C92),ISNUMBER(E92)),(E92-C92),"")</f>
        <v/>
      </c>
      <c r="H92" s="11">
        <f>IF(AND(ISNUMBER(C92),ISNUMBER(F92)),(F92-C92),"")</f>
        <v/>
      </c>
    </row>
    <row r="93">
      <c r="A93" s="3" t="inlineStr">
        <is>
          <t>1202903</t>
        </is>
      </c>
      <c r="B93" s="3" t="inlineStr">
        <is>
          <t>613</t>
        </is>
      </c>
      <c r="C93" s="10" t="n">
        <v>45666.24079861111</v>
      </c>
      <c r="D93" s="3" t="inlineStr">
        <is>
          <t>OBT090125062930-Linz</t>
        </is>
      </c>
      <c r="E93" s="10" t="n">
        <v>45666.27048611111</v>
      </c>
      <c r="F93" s="10" t="n">
        <v>45666.3228125</v>
      </c>
      <c r="G93" s="11">
        <f>IF(AND(ISNUMBER(C93),ISNUMBER(E93)),(E93-C93),"")</f>
        <v/>
      </c>
      <c r="H93" s="11">
        <f>IF(AND(ISNUMBER(C93),ISNUMBER(F93)),(F93-C93),"")</f>
        <v/>
      </c>
    </row>
    <row r="94">
      <c r="A94" s="3" t="inlineStr">
        <is>
          <t>1202904</t>
        </is>
      </c>
      <c r="B94" s="3" t="inlineStr">
        <is>
          <t>613</t>
        </is>
      </c>
      <c r="C94" s="10" t="n">
        <v>45666.24079861111</v>
      </c>
      <c r="D94" s="3" t="inlineStr">
        <is>
          <t>OBT090125062930-Linz</t>
        </is>
      </c>
      <c r="E94" s="10" t="n">
        <v>45666.27048611111</v>
      </c>
      <c r="F94" s="10" t="n">
        <v>45666.3228125</v>
      </c>
      <c r="G94" s="11">
        <f>IF(AND(ISNUMBER(C94),ISNUMBER(E94)),(E94-C94),"")</f>
        <v/>
      </c>
      <c r="H94" s="11">
        <f>IF(AND(ISNUMBER(C94),ISNUMBER(F94)),(F94-C94),"")</f>
        <v/>
      </c>
    </row>
    <row r="95">
      <c r="A95" s="3" t="inlineStr">
        <is>
          <t>1203001</t>
        </is>
      </c>
      <c r="B95" s="3" t="inlineStr">
        <is>
          <t>605</t>
        </is>
      </c>
      <c r="C95" s="10" t="n">
        <v>45666.24347222222</v>
      </c>
      <c r="D95" s="3" t="inlineStr">
        <is>
          <t>OBT090125062427-Graz</t>
        </is>
      </c>
      <c r="E95" s="10" t="n">
        <v>45666.26697916666</v>
      </c>
      <c r="F95" s="10" t="n">
        <v>45666.3181712963</v>
      </c>
      <c r="G95" s="11">
        <f>IF(AND(ISNUMBER(C95),ISNUMBER(E95)),(E95-C95),"")</f>
        <v/>
      </c>
      <c r="H95" s="11">
        <f>IF(AND(ISNUMBER(C95),ISNUMBER(F95)),(F95-C95),"")</f>
        <v/>
      </c>
    </row>
    <row r="96">
      <c r="A96" s="3" t="inlineStr">
        <is>
          <t>1203002</t>
        </is>
      </c>
      <c r="B96" s="3" t="inlineStr">
        <is>
          <t>605</t>
        </is>
      </c>
      <c r="C96" s="10" t="n">
        <v>45666.24347222222</v>
      </c>
      <c r="D96" s="3" t="inlineStr">
        <is>
          <t>OBT090125062427-Graz</t>
        </is>
      </c>
      <c r="E96" s="10" t="n">
        <v>45666.26697916666</v>
      </c>
      <c r="F96" s="10" t="n">
        <v>45666.3181712963</v>
      </c>
      <c r="G96" s="11">
        <f>IF(AND(ISNUMBER(C96),ISNUMBER(E96)),(E96-C96),"")</f>
        <v/>
      </c>
      <c r="H96" s="11">
        <f>IF(AND(ISNUMBER(C96),ISNUMBER(F96)),(F96-C96),"")</f>
        <v/>
      </c>
    </row>
    <row r="97">
      <c r="A97" s="3" t="inlineStr">
        <is>
          <t>1203003</t>
        </is>
      </c>
      <c r="B97" s="3" t="inlineStr">
        <is>
          <t>605</t>
        </is>
      </c>
      <c r="C97" s="10" t="n">
        <v>45666.24347222222</v>
      </c>
      <c r="D97" s="3" t="inlineStr">
        <is>
          <t>OBT090125062427-Graz</t>
        </is>
      </c>
      <c r="E97" s="10" t="n">
        <v>45666.26697916666</v>
      </c>
      <c r="F97" s="10" t="n">
        <v>45666.3181712963</v>
      </c>
      <c r="G97" s="11">
        <f>IF(AND(ISNUMBER(C97),ISNUMBER(E97)),(E97-C97),"")</f>
        <v/>
      </c>
      <c r="H97" s="11">
        <f>IF(AND(ISNUMBER(C97),ISNUMBER(F97)),(F97-C97),"")</f>
        <v/>
      </c>
    </row>
    <row r="98">
      <c r="A98" s="3" t="inlineStr">
        <is>
          <t>1203101</t>
        </is>
      </c>
      <c r="B98" s="3" t="inlineStr">
        <is>
          <t>619</t>
        </is>
      </c>
      <c r="C98" s="10" t="n">
        <v>45666.24623842593</v>
      </c>
      <c r="D98" s="3" t="inlineStr">
        <is>
          <t>OBT090125133851-Graz</t>
        </is>
      </c>
      <c r="E98" s="10" t="n">
        <v>45666.56864583334</v>
      </c>
      <c r="F98" s="10" t="n">
        <v>45666.59537037037</v>
      </c>
      <c r="G98" s="11">
        <f>IF(AND(ISNUMBER(C98),ISNUMBER(E98)),(E98-C98),"")</f>
        <v/>
      </c>
      <c r="H98" s="11">
        <f>IF(AND(ISNUMBER(C98),ISNUMBER(F98)),(F98-C98),"")</f>
        <v/>
      </c>
    </row>
    <row r="99">
      <c r="A99" s="3" t="inlineStr">
        <is>
          <t>1203102</t>
        </is>
      </c>
      <c r="B99" s="3" t="inlineStr">
        <is>
          <t>619</t>
        </is>
      </c>
      <c r="C99" s="10" t="n">
        <v>45666.24623842593</v>
      </c>
      <c r="D99" s="3" t="inlineStr">
        <is>
          <t>OBT090125133851-Graz</t>
        </is>
      </c>
      <c r="E99" s="10" t="n">
        <v>45666.56864583334</v>
      </c>
      <c r="F99" s="10" t="n">
        <v>45666.59537037037</v>
      </c>
      <c r="G99" s="11">
        <f>IF(AND(ISNUMBER(C99),ISNUMBER(E99)),(E99-C99),"")</f>
        <v/>
      </c>
      <c r="H99" s="11">
        <f>IF(AND(ISNUMBER(C99),ISNUMBER(F99)),(F99-C99),"")</f>
        <v/>
      </c>
    </row>
    <row r="100">
      <c r="A100" s="3" t="inlineStr">
        <is>
          <t>1203103</t>
        </is>
      </c>
      <c r="B100" s="3" t="inlineStr">
        <is>
          <t>619</t>
        </is>
      </c>
      <c r="C100" s="10" t="n">
        <v>45666.24623842593</v>
      </c>
      <c r="D100" s="3" t="inlineStr">
        <is>
          <t>OBT090125133851-Graz</t>
        </is>
      </c>
      <c r="E100" s="10" t="n">
        <v>45666.56864583334</v>
      </c>
      <c r="F100" s="10" t="n">
        <v>45666.59537037037</v>
      </c>
      <c r="G100" s="11">
        <f>IF(AND(ISNUMBER(C100),ISNUMBER(E100)),(E100-C100),"")</f>
        <v/>
      </c>
      <c r="H100" s="11">
        <f>IF(AND(ISNUMBER(C100),ISNUMBER(F100)),(F100-C100),"")</f>
        <v/>
      </c>
    </row>
    <row r="101">
      <c r="A101" s="3" t="inlineStr">
        <is>
          <t>1203201</t>
        </is>
      </c>
      <c r="B101" s="3" t="inlineStr">
        <is>
          <t>623</t>
        </is>
      </c>
      <c r="C101" s="10" t="n">
        <v>45666.25005787037</v>
      </c>
      <c r="D101" s="3" t="inlineStr">
        <is>
          <t>OBT090125065110-Vienna</t>
        </is>
      </c>
      <c r="E101" s="10" t="n">
        <v>45666.2855324074</v>
      </c>
      <c r="F101" s="10" t="n">
        <v>45666.33979166667</v>
      </c>
      <c r="G101" s="11">
        <f>IF(AND(ISNUMBER(C101),ISNUMBER(E101)),(E101-C101),"")</f>
        <v/>
      </c>
      <c r="H101" s="11">
        <f>IF(AND(ISNUMBER(C101),ISNUMBER(F101)),(F101-C101),"")</f>
        <v/>
      </c>
    </row>
    <row r="102">
      <c r="A102" s="3" t="inlineStr">
        <is>
          <t>1203202</t>
        </is>
      </c>
      <c r="B102" s="3" t="inlineStr">
        <is>
          <t>623</t>
        </is>
      </c>
      <c r="C102" s="10" t="n">
        <v>45666.25005787037</v>
      </c>
      <c r="D102" s="3" t="inlineStr">
        <is>
          <t>OBT090125065110-Vienna</t>
        </is>
      </c>
      <c r="E102" s="10" t="n">
        <v>45666.2855324074</v>
      </c>
      <c r="F102" s="10" t="n">
        <v>45666.33979166667</v>
      </c>
      <c r="G102" s="11">
        <f>IF(AND(ISNUMBER(C102),ISNUMBER(E102)),(E102-C102),"")</f>
        <v/>
      </c>
      <c r="H102" s="11">
        <f>IF(AND(ISNUMBER(C102),ISNUMBER(F102)),(F102-C102),"")</f>
        <v/>
      </c>
    </row>
    <row r="103">
      <c r="A103" s="3" t="inlineStr">
        <is>
          <t>1203203</t>
        </is>
      </c>
      <c r="B103" s="3" t="inlineStr">
        <is>
          <t>623</t>
        </is>
      </c>
      <c r="C103" s="10" t="n">
        <v>45666.25005787037</v>
      </c>
      <c r="D103" s="3" t="inlineStr">
        <is>
          <t>OBT090125065110-Vienna</t>
        </is>
      </c>
      <c r="E103" s="10" t="n">
        <v>45666.2855324074</v>
      </c>
      <c r="F103" s="10" t="n">
        <v>45666.33979166667</v>
      </c>
      <c r="G103" s="11">
        <f>IF(AND(ISNUMBER(C103),ISNUMBER(E103)),(E103-C103),"")</f>
        <v/>
      </c>
      <c r="H103" s="11">
        <f>IF(AND(ISNUMBER(C103),ISNUMBER(F103)),(F103-C103),"")</f>
        <v/>
      </c>
    </row>
    <row r="104">
      <c r="A104" s="3" t="inlineStr">
        <is>
          <t>1203301</t>
        </is>
      </c>
      <c r="B104" s="3" t="inlineStr">
        <is>
          <t>607</t>
        </is>
      </c>
      <c r="C104" s="10" t="n">
        <v>45666.2546412037</v>
      </c>
      <c r="D104" s="3" t="inlineStr">
        <is>
          <t>OBT090125064941-Vienna</t>
        </is>
      </c>
      <c r="E104" s="10" t="n">
        <v>45666.28450231482</v>
      </c>
      <c r="F104" s="10" t="n">
        <v>45666.31032407407</v>
      </c>
      <c r="G104" s="11">
        <f>IF(AND(ISNUMBER(C104),ISNUMBER(E104)),(E104-C104),"")</f>
        <v/>
      </c>
      <c r="H104" s="11">
        <f>IF(AND(ISNUMBER(C104),ISNUMBER(F104)),(F104-C104),"")</f>
        <v/>
      </c>
    </row>
    <row r="105">
      <c r="A105" s="3" t="inlineStr">
        <is>
          <t>1203302</t>
        </is>
      </c>
      <c r="B105" s="3" t="inlineStr">
        <is>
          <t>606</t>
        </is>
      </c>
      <c r="C105" s="10" t="n">
        <v>45666.25641203704</v>
      </c>
      <c r="D105" s="3" t="inlineStr">
        <is>
          <t>OBT100125165112-Innsbruck</t>
        </is>
      </c>
      <c r="E105" s="10" t="n">
        <v>45667.70222222222</v>
      </c>
      <c r="F105" s="10" t="n">
        <v>45667.73171296297</v>
      </c>
      <c r="G105" s="11">
        <f>IF(AND(ISNUMBER(C105),ISNUMBER(E105)),(E105-C105),"")</f>
        <v/>
      </c>
      <c r="H105" s="11">
        <f>IF(AND(ISNUMBER(C105),ISNUMBER(F105)),(F105-C105),"")</f>
        <v/>
      </c>
    </row>
    <row r="106">
      <c r="A106" s="3" t="inlineStr">
        <is>
          <t>1203303</t>
        </is>
      </c>
      <c r="B106" s="3" t="inlineStr">
        <is>
          <t>607</t>
        </is>
      </c>
      <c r="C106" s="10" t="n">
        <v>45666.25806712963</v>
      </c>
      <c r="D106" s="3" t="inlineStr">
        <is>
          <t>OBT090125064941-Vienna</t>
        </is>
      </c>
      <c r="E106" s="10" t="n">
        <v>45666.28450231482</v>
      </c>
      <c r="F106" s="10" t="n">
        <v>45666.31032407407</v>
      </c>
      <c r="G106" s="11">
        <f>IF(AND(ISNUMBER(C106),ISNUMBER(E106)),(E106-C106),"")</f>
        <v/>
      </c>
      <c r="H106" s="11">
        <f>IF(AND(ISNUMBER(C106),ISNUMBER(F106)),(F106-C106),"")</f>
        <v/>
      </c>
    </row>
    <row r="107">
      <c r="A107" s="3" t="inlineStr">
        <is>
          <t>1203401</t>
        </is>
      </c>
      <c r="B107" s="3" t="inlineStr">
        <is>
          <t>615</t>
        </is>
      </c>
      <c r="C107" s="10" t="n">
        <v>45666.46722222222</v>
      </c>
      <c r="D107" s="3" t="inlineStr">
        <is>
          <t>OBT090125113246-Budapest</t>
        </is>
      </c>
      <c r="E107" s="10" t="n">
        <v>45666.48108796297</v>
      </c>
      <c r="F107" s="10" t="n">
        <v>45666.50494212963</v>
      </c>
      <c r="G107" s="11">
        <f>IF(AND(ISNUMBER(C107),ISNUMBER(E107)),(E107-C107),"")</f>
        <v/>
      </c>
      <c r="H107" s="11">
        <f>IF(AND(ISNUMBER(C107),ISNUMBER(F107)),(F107-C107),"")</f>
        <v/>
      </c>
    </row>
    <row r="108">
      <c r="A108" s="3" t="inlineStr">
        <is>
          <t>1203402</t>
        </is>
      </c>
      <c r="B108" s="3" t="inlineStr">
        <is>
          <t>615</t>
        </is>
      </c>
      <c r="C108" s="10" t="n">
        <v>45666.46722222222</v>
      </c>
      <c r="D108" s="3" t="inlineStr">
        <is>
          <t>OBT090125113246-Budapest</t>
        </is>
      </c>
      <c r="E108" s="10" t="n">
        <v>45666.48108796297</v>
      </c>
      <c r="F108" s="10" t="n">
        <v>45666.50494212963</v>
      </c>
      <c r="G108" s="11">
        <f>IF(AND(ISNUMBER(C108),ISNUMBER(E108)),(E108-C108),"")</f>
        <v/>
      </c>
      <c r="H108" s="11">
        <f>IF(AND(ISNUMBER(C108),ISNUMBER(F108)),(F108-C108),"")</f>
        <v/>
      </c>
    </row>
    <row r="109">
      <c r="A109" s="3" t="inlineStr">
        <is>
          <t>1203403</t>
        </is>
      </c>
      <c r="B109" s="3" t="inlineStr">
        <is>
          <t>615</t>
        </is>
      </c>
      <c r="C109" s="10" t="n">
        <v>45666.46722222222</v>
      </c>
      <c r="D109" s="3" t="inlineStr">
        <is>
          <t>OBT090125113246-Budapest</t>
        </is>
      </c>
      <c r="E109" s="10" t="n">
        <v>45666.48108796297</v>
      </c>
      <c r="F109" s="10" t="n">
        <v>45666.50494212963</v>
      </c>
      <c r="G109" s="11">
        <f>IF(AND(ISNUMBER(C109),ISNUMBER(E109)),(E109-C109),"")</f>
        <v/>
      </c>
      <c r="H109" s="11">
        <f>IF(AND(ISNUMBER(C109),ISNUMBER(F109)),(F109-C109),"")</f>
        <v/>
      </c>
    </row>
    <row r="110">
      <c r="A110" s="3" t="inlineStr">
        <is>
          <t>1203404</t>
        </is>
      </c>
      <c r="B110" s="3" t="inlineStr">
        <is>
          <t>613</t>
        </is>
      </c>
      <c r="C110" s="10" t="n">
        <v>45666.46854166667</v>
      </c>
      <c r="D110" s="3" t="inlineStr">
        <is>
          <t>OBT090125114855-Salzburg</t>
        </is>
      </c>
      <c r="E110" s="10" t="n">
        <v>45666.49230324074</v>
      </c>
      <c r="F110" s="10" t="n">
        <v>45666.53016203704</v>
      </c>
      <c r="G110" s="11">
        <f>IF(AND(ISNUMBER(C110),ISNUMBER(E110)),(E110-C110),"")</f>
        <v/>
      </c>
      <c r="H110" s="11">
        <f>IF(AND(ISNUMBER(C110),ISNUMBER(F110)),(F110-C110),"")</f>
        <v/>
      </c>
    </row>
    <row r="111">
      <c r="A111" s="3" t="inlineStr">
        <is>
          <t>1203501</t>
        </is>
      </c>
      <c r="B111" s="3" t="inlineStr">
        <is>
          <t>613</t>
        </is>
      </c>
      <c r="C111" s="10" t="n">
        <v>45666.47076388889</v>
      </c>
      <c r="D111" s="3" t="inlineStr">
        <is>
          <t>OBT090125114855-Salzburg</t>
        </is>
      </c>
      <c r="E111" s="10" t="n">
        <v>45666.49230324074</v>
      </c>
      <c r="F111" s="10" t="n">
        <v>45666.53016203704</v>
      </c>
      <c r="G111" s="11">
        <f>IF(AND(ISNUMBER(C111),ISNUMBER(E111)),(E111-C111),"")</f>
        <v/>
      </c>
      <c r="H111" s="11">
        <f>IF(AND(ISNUMBER(C111),ISNUMBER(F111)),(F111-C111),"")</f>
        <v/>
      </c>
    </row>
    <row r="112">
      <c r="A112" s="3" t="inlineStr">
        <is>
          <t>1203502</t>
        </is>
      </c>
      <c r="B112" s="3" t="inlineStr">
        <is>
          <t>625</t>
        </is>
      </c>
      <c r="C112" s="10" t="n">
        <v>45666.47282407407</v>
      </c>
      <c r="D112" s="3" t="inlineStr">
        <is>
          <t>OBT090125135236-Linz</t>
        </is>
      </c>
      <c r="E112" s="10" t="n">
        <v>45666.57819444445</v>
      </c>
      <c r="F112" s="10" t="n">
        <v>45666.62597222222</v>
      </c>
      <c r="G112" s="11">
        <f>IF(AND(ISNUMBER(C112),ISNUMBER(E112)),(E112-C112),"")</f>
        <v/>
      </c>
      <c r="H112" s="11">
        <f>IF(AND(ISNUMBER(C112),ISNUMBER(F112)),(F112-C112),"")</f>
        <v/>
      </c>
    </row>
    <row r="113">
      <c r="A113" s="3" t="inlineStr">
        <is>
          <t>1203503</t>
        </is>
      </c>
      <c r="B113" s="3" t="inlineStr">
        <is>
          <t>613</t>
        </is>
      </c>
      <c r="C113" s="10" t="n">
        <v>45666.47431712963</v>
      </c>
      <c r="D113" s="3" t="inlineStr">
        <is>
          <t>OBT090125114855-Salzburg</t>
        </is>
      </c>
      <c r="E113" s="10" t="n">
        <v>45666.49230324074</v>
      </c>
      <c r="F113" s="10" t="n">
        <v>45666.53016203704</v>
      </c>
      <c r="G113" s="11">
        <f>IF(AND(ISNUMBER(C113),ISNUMBER(E113)),(E113-C113),"")</f>
        <v/>
      </c>
      <c r="H113" s="11">
        <f>IF(AND(ISNUMBER(C113),ISNUMBER(F113)),(F113-C113),"")</f>
        <v/>
      </c>
    </row>
    <row r="114">
      <c r="A114" s="3" t="inlineStr">
        <is>
          <t>1203504</t>
        </is>
      </c>
      <c r="B114" s="3" t="inlineStr">
        <is>
          <t>613</t>
        </is>
      </c>
      <c r="C114" s="10" t="n">
        <v>45666.47431712963</v>
      </c>
      <c r="D114" s="3" t="inlineStr">
        <is>
          <t>OBT090125114855-Salzburg</t>
        </is>
      </c>
      <c r="E114" s="10" t="n">
        <v>45666.49230324074</v>
      </c>
      <c r="F114" s="10" t="n">
        <v>45666.53016203704</v>
      </c>
      <c r="G114" s="11">
        <f>IF(AND(ISNUMBER(C114),ISNUMBER(E114)),(E114-C114),"")</f>
        <v/>
      </c>
      <c r="H114" s="11">
        <f>IF(AND(ISNUMBER(C114),ISNUMBER(F114)),(F114-C114),"")</f>
        <v/>
      </c>
    </row>
    <row r="115">
      <c r="A115" s="3" t="inlineStr">
        <is>
          <t>1203601</t>
        </is>
      </c>
      <c r="B115" s="3" t="inlineStr">
        <is>
          <t>615</t>
        </is>
      </c>
      <c r="C115" s="10" t="n">
        <v>45666.55244212963</v>
      </c>
      <c r="D115" s="3" t="inlineStr">
        <is>
          <t>OBT090125134430-Vienna</t>
        </is>
      </c>
      <c r="E115" s="10" t="n">
        <v>45666.57256944444</v>
      </c>
      <c r="F115" s="10" t="n">
        <v>45666.60565972222</v>
      </c>
      <c r="G115" s="11">
        <f>IF(AND(ISNUMBER(C115),ISNUMBER(E115)),(E115-C115),"")</f>
        <v/>
      </c>
      <c r="H115" s="11">
        <f>IF(AND(ISNUMBER(C115),ISNUMBER(F115)),(F115-C115),"")</f>
        <v/>
      </c>
    </row>
    <row r="116">
      <c r="A116" s="3" t="inlineStr">
        <is>
          <t>1203602</t>
        </is>
      </c>
      <c r="B116" s="3" t="inlineStr">
        <is>
          <t>615</t>
        </is>
      </c>
      <c r="C116" s="10" t="n">
        <v>45666.55244212963</v>
      </c>
      <c r="D116" s="3" t="inlineStr">
        <is>
          <t>OBT090125134430-Vienna</t>
        </is>
      </c>
      <c r="E116" s="10" t="n">
        <v>45666.57256944444</v>
      </c>
      <c r="F116" s="10" t="n">
        <v>45666.60565972222</v>
      </c>
      <c r="G116" s="11">
        <f>IF(AND(ISNUMBER(C116),ISNUMBER(E116)),(E116-C116),"")</f>
        <v/>
      </c>
      <c r="H116" s="11">
        <f>IF(AND(ISNUMBER(C116),ISNUMBER(F116)),(F116-C116),"")</f>
        <v/>
      </c>
    </row>
    <row r="117">
      <c r="A117" s="3" t="inlineStr">
        <is>
          <t>1203603</t>
        </is>
      </c>
      <c r="B117" s="3" t="inlineStr">
        <is>
          <t>613</t>
        </is>
      </c>
      <c r="C117" s="10" t="n">
        <v>45666.55416666667</v>
      </c>
      <c r="D117" s="3" t="inlineStr">
        <is>
          <t>OBT090125134651-Budapest</t>
        </is>
      </c>
      <c r="E117" s="10" t="n">
        <v>45666.57420138889</v>
      </c>
      <c r="F117" s="10" t="n">
        <v>45666.63420138889</v>
      </c>
      <c r="G117" s="11">
        <f>IF(AND(ISNUMBER(C117),ISNUMBER(E117)),(E117-C117),"")</f>
        <v/>
      </c>
      <c r="H117" s="11">
        <f>IF(AND(ISNUMBER(C117),ISNUMBER(F117)),(F117-C117),"")</f>
        <v/>
      </c>
    </row>
    <row r="118">
      <c r="A118" s="3" t="inlineStr">
        <is>
          <t>1203604</t>
        </is>
      </c>
      <c r="B118" s="3" t="inlineStr">
        <is>
          <t>613</t>
        </is>
      </c>
      <c r="C118" s="10" t="n">
        <v>45666.55416666667</v>
      </c>
      <c r="D118" s="3" t="inlineStr">
        <is>
          <t>OBT090125134651-Budapest</t>
        </is>
      </c>
      <c r="E118" s="10" t="n">
        <v>45666.57420138889</v>
      </c>
      <c r="F118" s="10" t="n">
        <v>45666.63420138889</v>
      </c>
      <c r="G118" s="11">
        <f>IF(AND(ISNUMBER(C118),ISNUMBER(E118)),(E118-C118),"")</f>
        <v/>
      </c>
      <c r="H118" s="11">
        <f>IF(AND(ISNUMBER(C118),ISNUMBER(F118)),(F118-C118),"")</f>
        <v/>
      </c>
    </row>
    <row r="119">
      <c r="A119" s="3" t="inlineStr">
        <is>
          <t>1203605</t>
        </is>
      </c>
      <c r="B119" s="3" t="inlineStr">
        <is>
          <t>613</t>
        </is>
      </c>
      <c r="C119" s="10" t="n">
        <v>45666.55416666667</v>
      </c>
      <c r="D119" s="3" t="inlineStr">
        <is>
          <t>OBT090125134651-Budapest</t>
        </is>
      </c>
      <c r="E119" s="10" t="n">
        <v>45666.57420138889</v>
      </c>
      <c r="F119" s="10" t="n">
        <v>45666.63420138889</v>
      </c>
      <c r="G119" s="11">
        <f>IF(AND(ISNUMBER(C119),ISNUMBER(E119)),(E119-C119),"")</f>
        <v/>
      </c>
      <c r="H119" s="11">
        <f>IF(AND(ISNUMBER(C119),ISNUMBER(F119)),(F119-C119),"")</f>
        <v/>
      </c>
    </row>
    <row r="120">
      <c r="A120" s="3" t="inlineStr">
        <is>
          <t>1203701</t>
        </is>
      </c>
      <c r="B120" s="3" t="inlineStr">
        <is>
          <t>625</t>
        </is>
      </c>
      <c r="C120" s="10" t="n">
        <v>45666.55712962963</v>
      </c>
      <c r="D120" s="3" t="inlineStr">
        <is>
          <t>OBT090125135236-Linz</t>
        </is>
      </c>
      <c r="E120" s="10" t="n">
        <v>45666.57819444445</v>
      </c>
      <c r="F120" s="10" t="n">
        <v>45666.62597222222</v>
      </c>
      <c r="G120" s="11">
        <f>IF(AND(ISNUMBER(C120),ISNUMBER(E120)),(E120-C120),"")</f>
        <v/>
      </c>
      <c r="H120" s="11">
        <f>IF(AND(ISNUMBER(C120),ISNUMBER(F120)),(F120-C120),"")</f>
        <v/>
      </c>
    </row>
    <row r="121">
      <c r="A121" s="3" t="inlineStr">
        <is>
          <t>1203702</t>
        </is>
      </c>
      <c r="B121" s="3" t="inlineStr">
        <is>
          <t>615</t>
        </is>
      </c>
      <c r="C121" s="10" t="n">
        <v>45666.55844907407</v>
      </c>
      <c r="D121" s="3" t="inlineStr">
        <is>
          <t>OBT090125134430-Vienna</t>
        </is>
      </c>
      <c r="E121" s="10" t="n">
        <v>45666.57256944444</v>
      </c>
      <c r="F121" s="10" t="n">
        <v>45666.60565972222</v>
      </c>
      <c r="G121" s="11">
        <f>IF(AND(ISNUMBER(C121),ISNUMBER(E121)),(E121-C121),"")</f>
        <v/>
      </c>
      <c r="H121" s="11">
        <f>IF(AND(ISNUMBER(C121),ISNUMBER(F121)),(F121-C121),"")</f>
        <v/>
      </c>
    </row>
    <row r="122">
      <c r="A122" s="3" t="inlineStr">
        <is>
          <t>1203703</t>
        </is>
      </c>
      <c r="B122" s="3" t="inlineStr">
        <is>
          <t>615</t>
        </is>
      </c>
      <c r="C122" s="10" t="n">
        <v>45666.55844907407</v>
      </c>
      <c r="D122" s="3" t="inlineStr">
        <is>
          <t>OBT090125134430-Vienna</t>
        </is>
      </c>
      <c r="E122" s="10" t="n">
        <v>45666.57256944444</v>
      </c>
      <c r="F122" s="10" t="n">
        <v>45666.60565972222</v>
      </c>
      <c r="G122" s="11">
        <f>IF(AND(ISNUMBER(C122),ISNUMBER(E122)),(E122-C122),"")</f>
        <v/>
      </c>
      <c r="H122" s="11">
        <f>IF(AND(ISNUMBER(C122),ISNUMBER(F122)),(F122-C122),"")</f>
        <v/>
      </c>
    </row>
    <row r="123">
      <c r="A123" s="3" t="inlineStr">
        <is>
          <t>1203704</t>
        </is>
      </c>
      <c r="B123" s="3" t="inlineStr">
        <is>
          <t>619</t>
        </is>
      </c>
      <c r="C123" s="10" t="n">
        <v>45666.56043981481</v>
      </c>
      <c r="D123" s="3" t="inlineStr">
        <is>
          <t>OBT090125133851-Graz</t>
        </is>
      </c>
      <c r="E123" s="10" t="n">
        <v>45666.56864583334</v>
      </c>
      <c r="F123" s="10" t="n">
        <v>45666.59537037037</v>
      </c>
      <c r="G123" s="11">
        <f>IF(AND(ISNUMBER(C123),ISNUMBER(E123)),(E123-C123),"")</f>
        <v/>
      </c>
      <c r="H123" s="11">
        <f>IF(AND(ISNUMBER(C123),ISNUMBER(F123)),(F123-C123),"")</f>
        <v/>
      </c>
    </row>
    <row r="124">
      <c r="A124" s="3" t="inlineStr">
        <is>
          <t>1203801</t>
        </is>
      </c>
      <c r="B124" s="3" t="inlineStr">
        <is>
          <t>605</t>
        </is>
      </c>
      <c r="C124" s="10" t="n">
        <v>45666.56789351852</v>
      </c>
      <c r="D124" s="3" t="inlineStr">
        <is>
          <t>OBT090125232040-Salzburg</t>
        </is>
      </c>
      <c r="E124" s="10" t="n">
        <v>45666.97268518519</v>
      </c>
      <c r="F124" s="10" t="n">
        <v>45667.00792824074</v>
      </c>
      <c r="G124" s="11">
        <f>IF(AND(ISNUMBER(C124),ISNUMBER(E124)),(E124-C124),"")</f>
        <v/>
      </c>
      <c r="H124" s="11">
        <f>IF(AND(ISNUMBER(C124),ISNUMBER(F124)),(F124-C124),"")</f>
        <v/>
      </c>
    </row>
    <row r="125">
      <c r="A125" s="3" t="inlineStr">
        <is>
          <t>1203802</t>
        </is>
      </c>
      <c r="B125" s="3" t="inlineStr">
        <is>
          <t>625</t>
        </is>
      </c>
      <c r="C125" s="10" t="n">
        <v>45666.56998842592</v>
      </c>
      <c r="D125" s="3" t="inlineStr">
        <is>
          <t>OBT090125135236-Linz</t>
        </is>
      </c>
      <c r="E125" s="10" t="n">
        <v>45666.57819444445</v>
      </c>
      <c r="F125" s="10" t="n">
        <v>45666.62597222222</v>
      </c>
      <c r="G125" s="11">
        <f>IF(AND(ISNUMBER(C125),ISNUMBER(E125)),(E125-C125),"")</f>
        <v/>
      </c>
      <c r="H125" s="11">
        <f>IF(AND(ISNUMBER(C125),ISNUMBER(F125)),(F125-C125),"")</f>
        <v/>
      </c>
    </row>
    <row r="126">
      <c r="A126" s="3" t="inlineStr">
        <is>
          <t>1203901</t>
        </is>
      </c>
      <c r="B126" s="3" t="inlineStr">
        <is>
          <t>623</t>
        </is>
      </c>
      <c r="C126" s="10" t="n">
        <v>45666.57842592592</v>
      </c>
      <c r="D126" s="3" t="inlineStr">
        <is>
          <t>OBT090125142948-Vienna</t>
        </is>
      </c>
      <c r="E126" s="10" t="n">
        <v>45666.60402777778</v>
      </c>
      <c r="F126" s="10" t="n">
        <v>45666.65357638889</v>
      </c>
      <c r="G126" s="11">
        <f>IF(AND(ISNUMBER(C126),ISNUMBER(E126)),(E126-C126),"")</f>
        <v/>
      </c>
      <c r="H126" s="11">
        <f>IF(AND(ISNUMBER(C126),ISNUMBER(F126)),(F126-C126),"")</f>
        <v/>
      </c>
    </row>
    <row r="127">
      <c r="A127" s="3" t="inlineStr">
        <is>
          <t>1203902</t>
        </is>
      </c>
      <c r="B127" s="3" t="inlineStr">
        <is>
          <t>607</t>
        </is>
      </c>
      <c r="C127" s="10" t="n">
        <v>45666.58023148148</v>
      </c>
      <c r="D127" s="3" t="inlineStr">
        <is>
          <t>OBT090125141313-Ljubljana</t>
        </is>
      </c>
      <c r="E127" s="10" t="n">
        <v>45666.59251157408</v>
      </c>
      <c r="F127" s="10" t="n">
        <v>45666.62681712963</v>
      </c>
      <c r="G127" s="11">
        <f>IF(AND(ISNUMBER(C127),ISNUMBER(E127)),(E127-C127),"")</f>
        <v/>
      </c>
      <c r="H127" s="11">
        <f>IF(AND(ISNUMBER(C127),ISNUMBER(F127)),(F127-C127),"")</f>
        <v/>
      </c>
    </row>
    <row r="128">
      <c r="A128" s="3" t="inlineStr">
        <is>
          <t>1203903</t>
        </is>
      </c>
      <c r="B128" s="3" t="inlineStr">
        <is>
          <t>607</t>
        </is>
      </c>
      <c r="C128" s="10" t="n">
        <v>45666.58023148148</v>
      </c>
      <c r="D128" s="3" t="inlineStr">
        <is>
          <t>OBT090125141313-Ljubljana</t>
        </is>
      </c>
      <c r="E128" s="10" t="n">
        <v>45666.59251157408</v>
      </c>
      <c r="F128" s="10" t="n">
        <v>45666.62681712963</v>
      </c>
      <c r="G128" s="11">
        <f>IF(AND(ISNUMBER(C128),ISNUMBER(E128)),(E128-C128),"")</f>
        <v/>
      </c>
      <c r="H128" s="11">
        <f>IF(AND(ISNUMBER(C128),ISNUMBER(F128)),(F128-C128),"")</f>
        <v/>
      </c>
    </row>
    <row r="129">
      <c r="A129" s="3" t="inlineStr">
        <is>
          <t>1204001</t>
        </is>
      </c>
      <c r="B129" s="3" t="inlineStr">
        <is>
          <t>609</t>
        </is>
      </c>
      <c r="C129" s="10" t="n">
        <v>45666.58732638889</v>
      </c>
      <c r="D129" s="3" t="inlineStr">
        <is>
          <t>OBT090125142902-Graz</t>
        </is>
      </c>
      <c r="E129" s="10" t="n">
        <v>45666.60349537037</v>
      </c>
      <c r="F129" s="10" t="n">
        <v>45666.65</v>
      </c>
      <c r="G129" s="11">
        <f>IF(AND(ISNUMBER(C129),ISNUMBER(E129)),(E129-C129),"")</f>
        <v/>
      </c>
      <c r="H129" s="11">
        <f>IF(AND(ISNUMBER(C129),ISNUMBER(F129)),(F129-C129),"")</f>
        <v/>
      </c>
    </row>
    <row r="130">
      <c r="A130" s="3" t="inlineStr">
        <is>
          <t>1204002</t>
        </is>
      </c>
      <c r="B130" s="3" t="inlineStr">
        <is>
          <t>623</t>
        </is>
      </c>
      <c r="C130" s="10" t="n">
        <v>45666.58918981482</v>
      </c>
      <c r="D130" s="3" t="inlineStr">
        <is>
          <t>OBT090125142948-Vienna</t>
        </is>
      </c>
      <c r="E130" s="10" t="n">
        <v>45666.60402777778</v>
      </c>
      <c r="F130" s="10" t="n">
        <v>45666.65357638889</v>
      </c>
      <c r="G130" s="11">
        <f>IF(AND(ISNUMBER(C130),ISNUMBER(E130)),(E130-C130),"")</f>
        <v/>
      </c>
      <c r="H130" s="11">
        <f>IF(AND(ISNUMBER(C130),ISNUMBER(F130)),(F130-C130),"")</f>
        <v/>
      </c>
    </row>
    <row r="131">
      <c r="A131" s="3" t="inlineStr">
        <is>
          <t>1204003</t>
        </is>
      </c>
      <c r="B131" s="3" t="inlineStr">
        <is>
          <t>609</t>
        </is>
      </c>
      <c r="C131" s="10" t="n">
        <v>45666.59076388889</v>
      </c>
      <c r="D131" s="3" t="inlineStr">
        <is>
          <t>OBT090125142902-Graz</t>
        </is>
      </c>
      <c r="E131" s="10" t="n">
        <v>45666.60349537037</v>
      </c>
      <c r="F131" s="10" t="n">
        <v>45666.65</v>
      </c>
      <c r="G131" s="11">
        <f>IF(AND(ISNUMBER(C131),ISNUMBER(E131)),(E131-C131),"")</f>
        <v/>
      </c>
      <c r="H131" s="11">
        <f>IF(AND(ISNUMBER(C131),ISNUMBER(F131)),(F131-C131),"")</f>
        <v/>
      </c>
    </row>
    <row r="132">
      <c r="A132" s="3" t="inlineStr">
        <is>
          <t>1204101</t>
        </is>
      </c>
      <c r="B132" s="3" t="inlineStr">
        <is>
          <t>615</t>
        </is>
      </c>
      <c r="C132" s="10" t="n">
        <v>45666.8009837963</v>
      </c>
      <c r="D132" s="3" t="inlineStr">
        <is>
          <t>OBT090125193547-Budapest</t>
        </is>
      </c>
      <c r="E132" s="10" t="n">
        <v>45666.8165162037</v>
      </c>
      <c r="F132" s="10" t="n">
        <v>45666.8431712963</v>
      </c>
      <c r="G132" s="11">
        <f>IF(AND(ISNUMBER(C132),ISNUMBER(E132)),(E132-C132),"")</f>
        <v/>
      </c>
      <c r="H132" s="11">
        <f>IF(AND(ISNUMBER(C132),ISNUMBER(F132)),(F132-C132),"")</f>
        <v/>
      </c>
    </row>
    <row r="133">
      <c r="A133" s="3" t="inlineStr">
        <is>
          <t>1204102</t>
        </is>
      </c>
      <c r="B133" s="3" t="inlineStr">
        <is>
          <t>615</t>
        </is>
      </c>
      <c r="C133" s="10" t="n">
        <v>45666.8009837963</v>
      </c>
      <c r="D133" s="3" t="inlineStr">
        <is>
          <t>OBT090125193547-Budapest</t>
        </is>
      </c>
      <c r="E133" s="10" t="n">
        <v>45666.8165162037</v>
      </c>
      <c r="F133" s="10" t="n">
        <v>45666.8431712963</v>
      </c>
      <c r="G133" s="11">
        <f>IF(AND(ISNUMBER(C133),ISNUMBER(E133)),(E133-C133),"")</f>
        <v/>
      </c>
      <c r="H133" s="11">
        <f>IF(AND(ISNUMBER(C133),ISNUMBER(F133)),(F133-C133),"")</f>
        <v/>
      </c>
    </row>
    <row r="134">
      <c r="A134" s="3" t="inlineStr">
        <is>
          <t>1204201</t>
        </is>
      </c>
      <c r="B134" s="3" t="inlineStr">
        <is>
          <t>613</t>
        </is>
      </c>
      <c r="C134" s="10" t="n">
        <v>45666.80613425926</v>
      </c>
      <c r="D134" s="3" t="inlineStr">
        <is>
          <t>OBT090125194448-Vienna</t>
        </is>
      </c>
      <c r="E134" s="10" t="n">
        <v>45666.82277777778</v>
      </c>
      <c r="F134" s="10" t="n">
        <v>45666.85503472222</v>
      </c>
      <c r="G134" s="11">
        <f>IF(AND(ISNUMBER(C134),ISNUMBER(E134)),(E134-C134),"")</f>
        <v/>
      </c>
      <c r="H134" s="11">
        <f>IF(AND(ISNUMBER(C134),ISNUMBER(F134)),(F134-C134),"")</f>
        <v/>
      </c>
    </row>
    <row r="135">
      <c r="A135" s="3" t="inlineStr">
        <is>
          <t>1204202</t>
        </is>
      </c>
      <c r="B135" s="3" t="inlineStr">
        <is>
          <t>613</t>
        </is>
      </c>
      <c r="C135" s="10" t="n">
        <v>45666.80613425926</v>
      </c>
      <c r="D135" s="3" t="inlineStr">
        <is>
          <t>OBT090125194448-Vienna</t>
        </is>
      </c>
      <c r="E135" s="10" t="n">
        <v>45666.82277777778</v>
      </c>
      <c r="F135" s="10" t="n">
        <v>45666.85503472222</v>
      </c>
      <c r="G135" s="11">
        <f>IF(AND(ISNUMBER(C135),ISNUMBER(E135)),(E135-C135),"")</f>
        <v/>
      </c>
      <c r="H135" s="11">
        <f>IF(AND(ISNUMBER(C135),ISNUMBER(F135)),(F135-C135),"")</f>
        <v/>
      </c>
    </row>
    <row r="136">
      <c r="A136" s="3" t="inlineStr">
        <is>
          <t>1204203</t>
        </is>
      </c>
      <c r="B136" s="3" t="inlineStr">
        <is>
          <t>625</t>
        </is>
      </c>
      <c r="C136" s="10" t="n">
        <v>45666.80832175926</v>
      </c>
      <c r="D136" s="3" t="inlineStr">
        <is>
          <t>OBT100125133507-Ljubljana</t>
        </is>
      </c>
      <c r="E136" s="10" t="n">
        <v>45667.56605324074</v>
      </c>
      <c r="F136" s="10" t="n">
        <v>45667.59930555556</v>
      </c>
      <c r="G136" s="11">
        <f>IF(AND(ISNUMBER(C136),ISNUMBER(E136)),(E136-C136),"")</f>
        <v/>
      </c>
      <c r="H136" s="11">
        <f>IF(AND(ISNUMBER(C136),ISNUMBER(F136)),(F136-C136),"")</f>
        <v/>
      </c>
    </row>
    <row r="137">
      <c r="A137" s="3" t="inlineStr">
        <is>
          <t>1204204</t>
        </is>
      </c>
      <c r="B137" s="3" t="inlineStr">
        <is>
          <t>625</t>
        </is>
      </c>
      <c r="C137" s="10" t="n">
        <v>45666.80832175926</v>
      </c>
      <c r="D137" s="3" t="inlineStr">
        <is>
          <t>OBT100125133507-Ljubljana</t>
        </is>
      </c>
      <c r="E137" s="10" t="n">
        <v>45667.56605324074</v>
      </c>
      <c r="F137" s="10" t="n">
        <v>45667.59930555556</v>
      </c>
      <c r="G137" s="11">
        <f>IF(AND(ISNUMBER(C137),ISNUMBER(E137)),(E137-C137),"")</f>
        <v/>
      </c>
      <c r="H137" s="11">
        <f>IF(AND(ISNUMBER(C137),ISNUMBER(F137)),(F137-C137),"")</f>
        <v/>
      </c>
    </row>
    <row r="138">
      <c r="A138" s="3" t="inlineStr">
        <is>
          <t>1204205</t>
        </is>
      </c>
      <c r="B138" s="3" t="inlineStr">
        <is>
          <t>613</t>
        </is>
      </c>
      <c r="C138" s="10" t="n">
        <v>45666.80971064815</v>
      </c>
      <c r="D138" s="3" t="inlineStr">
        <is>
          <t>OBT090125194448-Vienna</t>
        </is>
      </c>
      <c r="E138" s="10" t="n">
        <v>45666.82277777778</v>
      </c>
      <c r="F138" s="10" t="n">
        <v>45666.85503472222</v>
      </c>
      <c r="G138" s="11">
        <f>IF(AND(ISNUMBER(C138),ISNUMBER(E138)),(E138-C138),"")</f>
        <v/>
      </c>
      <c r="H138" s="11">
        <f>IF(AND(ISNUMBER(C138),ISNUMBER(F138)),(F138-C138),"")</f>
        <v/>
      </c>
    </row>
    <row r="139">
      <c r="A139" s="3" t="inlineStr">
        <is>
          <t>1204301</t>
        </is>
      </c>
      <c r="B139" s="3" t="inlineStr">
        <is>
          <t>605</t>
        </is>
      </c>
      <c r="C139" s="10" t="n">
        <v>45666.94737268519</v>
      </c>
      <c r="D139" s="3" t="inlineStr">
        <is>
          <t>OBT090125232040-Salzburg</t>
        </is>
      </c>
      <c r="E139" s="10" t="n">
        <v>45666.97268518519</v>
      </c>
      <c r="F139" s="10" t="n">
        <v>45667.00792824074</v>
      </c>
      <c r="G139" s="11">
        <f>IF(AND(ISNUMBER(C139),ISNUMBER(E139)),(E139-C139),"")</f>
        <v/>
      </c>
      <c r="H139" s="11">
        <f>IF(AND(ISNUMBER(C139),ISNUMBER(F139)),(F139-C139),"")</f>
        <v/>
      </c>
    </row>
    <row r="140">
      <c r="A140" s="3" t="inlineStr">
        <is>
          <t>1204302</t>
        </is>
      </c>
      <c r="B140" s="3" t="inlineStr">
        <is>
          <t>605</t>
        </is>
      </c>
      <c r="C140" s="10" t="n">
        <v>45666.94737268519</v>
      </c>
      <c r="D140" s="3" t="inlineStr">
        <is>
          <t>OBT090125232040-Salzburg</t>
        </is>
      </c>
      <c r="E140" s="10" t="n">
        <v>45666.97268518519</v>
      </c>
      <c r="F140" s="10" t="n">
        <v>45667.00792824074</v>
      </c>
      <c r="G140" s="11">
        <f>IF(AND(ISNUMBER(C140),ISNUMBER(E140)),(E140-C140),"")</f>
        <v/>
      </c>
      <c r="H140" s="11">
        <f>IF(AND(ISNUMBER(C140),ISNUMBER(F140)),(F140-C140),"")</f>
        <v/>
      </c>
    </row>
    <row r="141">
      <c r="A141" s="3" t="inlineStr">
        <is>
          <t>1204303</t>
        </is>
      </c>
      <c r="B141" s="3" t="inlineStr">
        <is>
          <t>605</t>
        </is>
      </c>
      <c r="C141" s="10" t="n">
        <v>45666.94737268519</v>
      </c>
      <c r="D141" s="3" t="inlineStr">
        <is>
          <t>OBT090125232040-Salzburg</t>
        </is>
      </c>
      <c r="E141" s="10" t="n">
        <v>45666.97268518519</v>
      </c>
      <c r="F141" s="10" t="n">
        <v>45667.00792824074</v>
      </c>
      <c r="G141" s="11">
        <f>IF(AND(ISNUMBER(C141),ISNUMBER(E141)),(E141-C141),"")</f>
        <v/>
      </c>
      <c r="H141" s="11">
        <f>IF(AND(ISNUMBER(C141),ISNUMBER(F141)),(F141-C141),"")</f>
        <v/>
      </c>
    </row>
    <row r="142">
      <c r="A142" s="3" t="inlineStr">
        <is>
          <t>1204304</t>
        </is>
      </c>
      <c r="B142" s="3" t="inlineStr">
        <is>
          <t>605</t>
        </is>
      </c>
      <c r="C142" s="10" t="n">
        <v>45666.94737268519</v>
      </c>
      <c r="D142" s="3" t="inlineStr">
        <is>
          <t>OBT090125232040-Salzburg</t>
        </is>
      </c>
      <c r="E142" s="10" t="n">
        <v>45666.97268518519</v>
      </c>
      <c r="F142" s="10" t="n">
        <v>45667.00792824074</v>
      </c>
      <c r="G142" s="11">
        <f>IF(AND(ISNUMBER(C142),ISNUMBER(E142)),(E142-C142),"")</f>
        <v/>
      </c>
      <c r="H142" s="11">
        <f>IF(AND(ISNUMBER(C142),ISNUMBER(F142)),(F142-C142),"")</f>
        <v/>
      </c>
    </row>
    <row r="143">
      <c r="A143" s="3" t="inlineStr">
        <is>
          <t>1204401</t>
        </is>
      </c>
      <c r="B143" s="3" t="inlineStr">
        <is>
          <t>615</t>
        </is>
      </c>
      <c r="C143" s="10" t="n">
        <v>45667.30246527777</v>
      </c>
      <c r="D143" s="3" t="inlineStr">
        <is>
          <t>OBT100125093309-Graz</t>
        </is>
      </c>
      <c r="E143" s="10" t="n">
        <v>45667.39802083333</v>
      </c>
      <c r="F143" s="10" t="n">
        <v>45667.42466435185</v>
      </c>
      <c r="G143" s="11">
        <f>IF(AND(ISNUMBER(C143),ISNUMBER(E143)),(E143-C143),"")</f>
        <v/>
      </c>
      <c r="H143" s="11">
        <f>IF(AND(ISNUMBER(C143),ISNUMBER(F143)),(F143-C143),"")</f>
        <v/>
      </c>
    </row>
    <row r="144">
      <c r="A144" s="3" t="inlineStr">
        <is>
          <t>1204402</t>
        </is>
      </c>
      <c r="B144" s="3" t="inlineStr">
        <is>
          <t>613</t>
        </is>
      </c>
      <c r="C144" s="10" t="n">
        <v>45667.30380787037</v>
      </c>
      <c r="D144" s="3" t="inlineStr">
        <is>
          <t>OBT100125152926-Budapest</t>
        </is>
      </c>
      <c r="E144" s="10" t="n">
        <v>45667.64543981481</v>
      </c>
      <c r="F144" s="10" t="n">
        <v>45667.66924768518</v>
      </c>
      <c r="G144" s="11">
        <f>IF(AND(ISNUMBER(C144),ISNUMBER(E144)),(E144-C144),"")</f>
        <v/>
      </c>
      <c r="H144" s="11">
        <f>IF(AND(ISNUMBER(C144),ISNUMBER(F144)),(F144-C144),"")</f>
        <v/>
      </c>
    </row>
    <row r="145">
      <c r="A145" s="3" t="inlineStr">
        <is>
          <t>1204403</t>
        </is>
      </c>
      <c r="B145" s="3" t="inlineStr">
        <is>
          <t>606</t>
        </is>
      </c>
      <c r="C145" s="10" t="n">
        <v>45667.3055787037</v>
      </c>
      <c r="D145" s="3" t="inlineStr">
        <is>
          <t>OBT100125165112-Innsbruck</t>
        </is>
      </c>
      <c r="E145" s="10" t="n">
        <v>45667.70222222222</v>
      </c>
      <c r="F145" s="10" t="n">
        <v>45667.73171296297</v>
      </c>
      <c r="G145" s="11">
        <f>IF(AND(ISNUMBER(C145),ISNUMBER(E145)),(E145-C145),"")</f>
        <v/>
      </c>
      <c r="H145" s="11">
        <f>IF(AND(ISNUMBER(C145),ISNUMBER(F145)),(F145-C145),"")</f>
        <v/>
      </c>
    </row>
    <row r="146">
      <c r="A146" s="3" t="inlineStr">
        <is>
          <t>1204404</t>
        </is>
      </c>
      <c r="B146" s="3" t="inlineStr">
        <is>
          <t>615</t>
        </is>
      </c>
      <c r="C146" s="10" t="n">
        <v>45667.30680555556</v>
      </c>
      <c r="D146" s="3" t="inlineStr">
        <is>
          <t>OBT100125093309-Graz</t>
        </is>
      </c>
      <c r="E146" s="10" t="n">
        <v>45667.39802083333</v>
      </c>
      <c r="F146" s="10" t="n">
        <v>45667.42466435185</v>
      </c>
      <c r="G146" s="11">
        <f>IF(AND(ISNUMBER(C146),ISNUMBER(E146)),(E146-C146),"")</f>
        <v/>
      </c>
      <c r="H146" s="11">
        <f>IF(AND(ISNUMBER(C146),ISNUMBER(F146)),(F146-C146),"")</f>
        <v/>
      </c>
    </row>
    <row r="147">
      <c r="A147" s="3" t="inlineStr">
        <is>
          <t>1204501</t>
        </is>
      </c>
      <c r="B147" s="3" t="inlineStr">
        <is>
          <t>605</t>
        </is>
      </c>
      <c r="C147" s="10" t="n">
        <v>45667.32655092593</v>
      </c>
      <c r="D147" s="3" t="inlineStr">
        <is>
          <t>OBT100125135618-Vienna</t>
        </is>
      </c>
      <c r="E147" s="10" t="n">
        <v>45667.58076388889</v>
      </c>
      <c r="F147" s="10" t="n">
        <v>45667.63162037037</v>
      </c>
      <c r="G147" s="11">
        <f>IF(AND(ISNUMBER(C147),ISNUMBER(E147)),(E147-C147),"")</f>
        <v/>
      </c>
      <c r="H147" s="11">
        <f>IF(AND(ISNUMBER(C147),ISNUMBER(F147)),(F147-C147),"")</f>
        <v/>
      </c>
    </row>
    <row r="148">
      <c r="A148" s="3" t="inlineStr">
        <is>
          <t>1204502</t>
        </is>
      </c>
      <c r="B148" s="3" t="inlineStr">
        <is>
          <t>623</t>
        </is>
      </c>
      <c r="C148" s="10" t="n">
        <v>45667.32834490741</v>
      </c>
      <c r="D148" s="3" t="inlineStr">
        <is>
          <t>OBT100125133517-Salzburg</t>
        </is>
      </c>
      <c r="E148" s="10" t="n">
        <v>45667.56616898148</v>
      </c>
      <c r="F148" s="10" t="n">
        <v>45667.60547453703</v>
      </c>
      <c r="G148" s="11">
        <f>IF(AND(ISNUMBER(C148),ISNUMBER(E148)),(E148-C148),"")</f>
        <v/>
      </c>
      <c r="H148" s="11">
        <f>IF(AND(ISNUMBER(C148),ISNUMBER(F148)),(F148-C148),"")</f>
        <v/>
      </c>
    </row>
    <row r="149">
      <c r="A149" s="3" t="inlineStr">
        <is>
          <t>1204503</t>
        </is>
      </c>
      <c r="B149" s="3" t="inlineStr">
        <is>
          <t>627</t>
        </is>
      </c>
      <c r="C149" s="10" t="n">
        <v>45667.33033564815</v>
      </c>
      <c r="D149" s="3" t="inlineStr">
        <is>
          <t>OBT100125080623-Klagenfurt</t>
        </is>
      </c>
      <c r="E149" s="10" t="n">
        <v>45667.3377662037</v>
      </c>
      <c r="F149" s="10" t="n">
        <v>45667.36155092593</v>
      </c>
      <c r="G149" s="11">
        <f>IF(AND(ISNUMBER(C149),ISNUMBER(E149)),(E149-C149),"")</f>
        <v/>
      </c>
      <c r="H149" s="11">
        <f>IF(AND(ISNUMBER(C149),ISNUMBER(F149)),(F149-C149),"")</f>
        <v/>
      </c>
    </row>
    <row r="150">
      <c r="A150" s="3" t="inlineStr">
        <is>
          <t>1204601</t>
        </is>
      </c>
      <c r="B150" s="3" t="inlineStr">
        <is>
          <t>613</t>
        </is>
      </c>
      <c r="C150" s="10" t="n">
        <v>45667.35835648148</v>
      </c>
      <c r="D150" s="3" t="inlineStr">
        <is>
          <t>OBT100125152926-Budapest</t>
        </is>
      </c>
      <c r="E150" s="10" t="n">
        <v>45667.64543981481</v>
      </c>
      <c r="F150" s="10" t="n">
        <v>45667.66924768518</v>
      </c>
      <c r="G150" s="11">
        <f>IF(AND(ISNUMBER(C150),ISNUMBER(E150)),(E150-C150),"")</f>
        <v/>
      </c>
      <c r="H150" s="11">
        <f>IF(AND(ISNUMBER(C150),ISNUMBER(F150)),(F150-C150),"")</f>
        <v/>
      </c>
    </row>
    <row r="151">
      <c r="A151" s="3" t="inlineStr">
        <is>
          <t>1204602</t>
        </is>
      </c>
      <c r="B151" s="3" t="inlineStr">
        <is>
          <t>623</t>
        </is>
      </c>
      <c r="C151" s="10" t="n">
        <v>45667.36021990741</v>
      </c>
      <c r="D151" s="3" t="inlineStr">
        <is>
          <t>OBT100125133517-Salzburg</t>
        </is>
      </c>
      <c r="E151" s="10" t="n">
        <v>45667.56616898148</v>
      </c>
      <c r="F151" s="10" t="n">
        <v>45667.60547453703</v>
      </c>
      <c r="G151" s="11">
        <f>IF(AND(ISNUMBER(C151),ISNUMBER(E151)),(E151-C151),"")</f>
        <v/>
      </c>
      <c r="H151" s="11">
        <f>IF(AND(ISNUMBER(C151),ISNUMBER(F151)),(F151-C151),"")</f>
        <v/>
      </c>
    </row>
    <row r="152">
      <c r="A152" s="3" t="inlineStr">
        <is>
          <t>1204701</t>
        </is>
      </c>
      <c r="B152" s="3" t="inlineStr">
        <is>
          <t>615</t>
        </is>
      </c>
      <c r="C152" s="10" t="n">
        <v>45667.38737268518</v>
      </c>
      <c r="D152" s="3" t="inlineStr">
        <is>
          <t>OBT100125093309-Graz</t>
        </is>
      </c>
      <c r="E152" s="10" t="n">
        <v>45667.39802083333</v>
      </c>
      <c r="F152" s="10" t="n">
        <v>45667.42466435185</v>
      </c>
      <c r="G152" s="11">
        <f>IF(AND(ISNUMBER(C152),ISNUMBER(E152)),(E152-C152),"")</f>
        <v/>
      </c>
      <c r="H152" s="11">
        <f>IF(AND(ISNUMBER(C152),ISNUMBER(F152)),(F152-C152),"")</f>
        <v/>
      </c>
    </row>
    <row r="153">
      <c r="A153" s="3" t="inlineStr">
        <is>
          <t>1204702</t>
        </is>
      </c>
      <c r="B153" s="3" t="inlineStr">
        <is>
          <t>627</t>
        </is>
      </c>
      <c r="C153" s="10" t="n">
        <v>45667.38939814815</v>
      </c>
      <c r="D153" s="3" t="inlineStr">
        <is>
          <t>OBT110125130321-Klagenfurt</t>
        </is>
      </c>
      <c r="E153" s="10" t="n">
        <v>45668.54399305556</v>
      </c>
      <c r="F153" s="10" t="n">
        <v>45668.59255787037</v>
      </c>
      <c r="G153" s="11">
        <f>IF(AND(ISNUMBER(C153),ISNUMBER(E153)),(E153-C153),"")</f>
        <v/>
      </c>
      <c r="H153" s="11">
        <f>IF(AND(ISNUMBER(C153),ISNUMBER(F153)),(F153-C153),"")</f>
        <v/>
      </c>
    </row>
    <row r="154">
      <c r="A154" s="3" t="inlineStr">
        <is>
          <t>1204703</t>
        </is>
      </c>
      <c r="B154" s="3" t="inlineStr">
        <is>
          <t>619</t>
        </is>
      </c>
      <c r="C154" s="10" t="n">
        <v>45667.39142361111</v>
      </c>
      <c r="D154" s="3" t="inlineStr">
        <is>
          <t>OBT100125134146-Graz</t>
        </is>
      </c>
      <c r="E154" s="10" t="n">
        <v>45667.57067129629</v>
      </c>
      <c r="F154" s="10" t="n">
        <v>45667.61464120371</v>
      </c>
      <c r="G154" s="11">
        <f>IF(AND(ISNUMBER(C154),ISNUMBER(E154)),(E154-C154),"")</f>
        <v/>
      </c>
      <c r="H154" s="11">
        <f>IF(AND(ISNUMBER(C154),ISNUMBER(F154)),(F154-C154),"")</f>
        <v/>
      </c>
    </row>
    <row r="155">
      <c r="A155" s="3" t="inlineStr">
        <is>
          <t>1204801</t>
        </is>
      </c>
      <c r="B155" s="3" t="inlineStr">
        <is>
          <t>615</t>
        </is>
      </c>
      <c r="C155" s="10" t="n">
        <v>45667.55201388889</v>
      </c>
      <c r="D155" s="3" t="inlineStr">
        <is>
          <t>OBT100125133454-Linz</t>
        </is>
      </c>
      <c r="E155" s="10" t="n">
        <v>45667.56590277778</v>
      </c>
      <c r="F155" s="10" t="n">
        <v>45667.59060185185</v>
      </c>
      <c r="G155" s="11">
        <f>IF(AND(ISNUMBER(C155),ISNUMBER(E155)),(E155-C155),"")</f>
        <v/>
      </c>
      <c r="H155" s="11">
        <f>IF(AND(ISNUMBER(C155),ISNUMBER(F155)),(F155-C155),"")</f>
        <v/>
      </c>
    </row>
    <row r="156">
      <c r="A156" s="3" t="inlineStr">
        <is>
          <t>1204802</t>
        </is>
      </c>
      <c r="B156" s="3" t="inlineStr">
        <is>
          <t>615</t>
        </is>
      </c>
      <c r="C156" s="10" t="n">
        <v>45667.55201388889</v>
      </c>
      <c r="D156" s="3" t="inlineStr">
        <is>
          <t>OBT100125133454-Linz</t>
        </is>
      </c>
      <c r="E156" s="10" t="n">
        <v>45667.56590277778</v>
      </c>
      <c r="F156" s="10" t="n">
        <v>45667.59060185185</v>
      </c>
      <c r="G156" s="11">
        <f>IF(AND(ISNUMBER(C156),ISNUMBER(E156)),(E156-C156),"")</f>
        <v/>
      </c>
      <c r="H156" s="11">
        <f>IF(AND(ISNUMBER(C156),ISNUMBER(F156)),(F156-C156),"")</f>
        <v/>
      </c>
    </row>
    <row r="157">
      <c r="A157" s="3" t="inlineStr">
        <is>
          <t>1204803</t>
        </is>
      </c>
      <c r="B157" s="3" t="inlineStr">
        <is>
          <t>615</t>
        </is>
      </c>
      <c r="C157" s="10" t="n">
        <v>45667.55201388889</v>
      </c>
      <c r="D157" s="3" t="inlineStr">
        <is>
          <t>OBT100125133454-Linz</t>
        </is>
      </c>
      <c r="E157" s="10" t="n">
        <v>45667.56590277778</v>
      </c>
      <c r="F157" s="10" t="n">
        <v>45667.59060185185</v>
      </c>
      <c r="G157" s="11">
        <f>IF(AND(ISNUMBER(C157),ISNUMBER(E157)),(E157-C157),"")</f>
        <v/>
      </c>
      <c r="H157" s="11">
        <f>IF(AND(ISNUMBER(C157),ISNUMBER(F157)),(F157-C157),"")</f>
        <v/>
      </c>
    </row>
    <row r="158">
      <c r="A158" s="3" t="inlineStr">
        <is>
          <t>1204804</t>
        </is>
      </c>
      <c r="B158" s="3" t="inlineStr">
        <is>
          <t>625</t>
        </is>
      </c>
      <c r="C158" s="10" t="n">
        <v>45667.55416666667</v>
      </c>
      <c r="D158" s="3" t="inlineStr">
        <is>
          <t>OBT100125133507-Ljubljana</t>
        </is>
      </c>
      <c r="E158" s="10" t="n">
        <v>45667.56605324074</v>
      </c>
      <c r="F158" s="10" t="n">
        <v>45667.59930555556</v>
      </c>
      <c r="G158" s="11">
        <f>IF(AND(ISNUMBER(C158),ISNUMBER(E158)),(E158-C158),"")</f>
        <v/>
      </c>
      <c r="H158" s="11">
        <f>IF(AND(ISNUMBER(C158),ISNUMBER(F158)),(F158-C158),"")</f>
        <v/>
      </c>
    </row>
    <row r="159">
      <c r="A159" s="3" t="inlineStr">
        <is>
          <t>1204805</t>
        </is>
      </c>
      <c r="B159" s="3" t="inlineStr">
        <is>
          <t>607</t>
        </is>
      </c>
      <c r="C159" s="10" t="n">
        <v>45667.55578703704</v>
      </c>
      <c r="D159" s="3" t="inlineStr">
        <is>
          <t>OBT100125165346-Linz</t>
        </is>
      </c>
      <c r="E159" s="10" t="n">
        <v>45667.70400462963</v>
      </c>
      <c r="F159" s="10" t="n">
        <v>45667.73730324074</v>
      </c>
      <c r="G159" s="11">
        <f>IF(AND(ISNUMBER(C159),ISNUMBER(E159)),(E159-C159),"")</f>
        <v/>
      </c>
      <c r="H159" s="11">
        <f>IF(AND(ISNUMBER(C159),ISNUMBER(F159)),(F159-C159),"")</f>
        <v/>
      </c>
    </row>
    <row r="160">
      <c r="A160" s="3" t="inlineStr">
        <is>
          <t>1204901</t>
        </is>
      </c>
      <c r="B160" s="3" t="inlineStr">
        <is>
          <t>619</t>
        </is>
      </c>
      <c r="C160" s="10" t="n">
        <v>45667.55864583333</v>
      </c>
      <c r="D160" s="3" t="inlineStr">
        <is>
          <t>OBT100125134146-Graz</t>
        </is>
      </c>
      <c r="E160" s="10" t="n">
        <v>45667.57067129629</v>
      </c>
      <c r="F160" s="10" t="n">
        <v>45667.61464120371</v>
      </c>
      <c r="G160" s="11">
        <f>IF(AND(ISNUMBER(C160),ISNUMBER(E160)),(E160-C160),"")</f>
        <v/>
      </c>
      <c r="H160" s="11">
        <f>IF(AND(ISNUMBER(C160),ISNUMBER(F160)),(F160-C160),"")</f>
        <v/>
      </c>
    </row>
    <row r="161">
      <c r="A161" s="3" t="inlineStr">
        <is>
          <t>1204902</t>
        </is>
      </c>
      <c r="B161" s="3" t="inlineStr">
        <is>
          <t>623</t>
        </is>
      </c>
      <c r="C161" s="10" t="n">
        <v>45667.56043981481</v>
      </c>
      <c r="D161" s="3" t="inlineStr">
        <is>
          <t>OBT100125133517-Salzburg</t>
        </is>
      </c>
      <c r="E161" s="10" t="n">
        <v>45667.56616898148</v>
      </c>
      <c r="F161" s="10" t="n">
        <v>45667.60547453703</v>
      </c>
      <c r="G161" s="11">
        <f>IF(AND(ISNUMBER(C161),ISNUMBER(E161)),(E161-C161),"")</f>
        <v/>
      </c>
      <c r="H161" s="11">
        <f>IF(AND(ISNUMBER(C161),ISNUMBER(F161)),(F161-C161),"")</f>
        <v/>
      </c>
    </row>
    <row r="162">
      <c r="A162" s="3" t="inlineStr">
        <is>
          <t>1204903</t>
        </is>
      </c>
      <c r="B162" s="3" t="inlineStr">
        <is>
          <t>619</t>
        </is>
      </c>
      <c r="C162" s="10" t="n">
        <v>45667.56246527778</v>
      </c>
      <c r="D162" s="3" t="inlineStr">
        <is>
          <t>OBT100125134146-Graz</t>
        </is>
      </c>
      <c r="E162" s="10" t="n">
        <v>45667.57067129629</v>
      </c>
      <c r="F162" s="10" t="n">
        <v>45667.61464120371</v>
      </c>
      <c r="G162" s="11">
        <f>IF(AND(ISNUMBER(C162),ISNUMBER(E162)),(E162-C162),"")</f>
        <v/>
      </c>
      <c r="H162" s="11">
        <f>IF(AND(ISNUMBER(C162),ISNUMBER(F162)),(F162-C162),"")</f>
        <v/>
      </c>
    </row>
    <row r="163">
      <c r="A163" s="3" t="inlineStr">
        <is>
          <t>1204904</t>
        </is>
      </c>
      <c r="B163" s="3" t="inlineStr">
        <is>
          <t>605</t>
        </is>
      </c>
      <c r="C163" s="10" t="n">
        <v>45667.56440972222</v>
      </c>
      <c r="D163" s="3" t="inlineStr">
        <is>
          <t>OBT100125135618-Vienna</t>
        </is>
      </c>
      <c r="E163" s="10" t="n">
        <v>45667.58076388889</v>
      </c>
      <c r="F163" s="10" t="n">
        <v>45667.63162037037</v>
      </c>
      <c r="G163" s="11">
        <f>IF(AND(ISNUMBER(C163),ISNUMBER(E163)),(E163-C163),"")</f>
        <v/>
      </c>
      <c r="H163" s="11">
        <f>IF(AND(ISNUMBER(C163),ISNUMBER(F163)),(F163-C163),"")</f>
        <v/>
      </c>
    </row>
    <row r="164">
      <c r="A164" s="3" t="inlineStr">
        <is>
          <t>1204905</t>
        </is>
      </c>
      <c r="B164" s="3" t="inlineStr">
        <is>
          <t>605</t>
        </is>
      </c>
      <c r="C164" s="10" t="n">
        <v>45667.56440972222</v>
      </c>
      <c r="D164" s="3" t="inlineStr">
        <is>
          <t>OBT100125135618-Vienna</t>
        </is>
      </c>
      <c r="E164" s="10" t="n">
        <v>45667.58076388889</v>
      </c>
      <c r="F164" s="10" t="n">
        <v>45667.63162037037</v>
      </c>
      <c r="G164" s="11">
        <f>IF(AND(ISNUMBER(C164),ISNUMBER(E164)),(E164-C164),"")</f>
        <v/>
      </c>
      <c r="H164" s="11">
        <f>IF(AND(ISNUMBER(C164),ISNUMBER(F164)),(F164-C164),"")</f>
        <v/>
      </c>
    </row>
    <row r="165">
      <c r="A165" s="3" t="inlineStr">
        <is>
          <t>1205001</t>
        </is>
      </c>
      <c r="B165" s="3" t="inlineStr">
        <is>
          <t>615</t>
        </is>
      </c>
      <c r="C165" s="10" t="n">
        <v>45667.6358912037</v>
      </c>
      <c r="D165" s="3" t="inlineStr">
        <is>
          <t>OBT110125063829-Ljubljana</t>
        </is>
      </c>
      <c r="E165" s="10" t="n">
        <v>45668.27672453703</v>
      </c>
      <c r="F165" s="10" t="n">
        <v>45668.29773148148</v>
      </c>
      <c r="G165" s="11">
        <f>IF(AND(ISNUMBER(C165),ISNUMBER(E165)),(E165-C165),"")</f>
        <v/>
      </c>
      <c r="H165" s="11">
        <f>IF(AND(ISNUMBER(C165),ISNUMBER(F165)),(F165-C165),"")</f>
        <v/>
      </c>
    </row>
    <row r="166">
      <c r="A166" s="3" t="inlineStr">
        <is>
          <t>1205002</t>
        </is>
      </c>
      <c r="B166" s="3" t="inlineStr">
        <is>
          <t>613</t>
        </is>
      </c>
      <c r="C166" s="10" t="n">
        <v>45667.6372337963</v>
      </c>
      <c r="D166" s="3" t="inlineStr">
        <is>
          <t>OBT100125152926-Budapest</t>
        </is>
      </c>
      <c r="E166" s="10" t="n">
        <v>45667.64543981481</v>
      </c>
      <c r="F166" s="10" t="n">
        <v>45667.66924768518</v>
      </c>
      <c r="G166" s="11">
        <f>IF(AND(ISNUMBER(C166),ISNUMBER(E166)),(E166-C166),"")</f>
        <v/>
      </c>
      <c r="H166" s="11">
        <f>IF(AND(ISNUMBER(C166),ISNUMBER(F166)),(F166-C166),"")</f>
        <v/>
      </c>
    </row>
    <row r="167">
      <c r="A167" s="3" t="inlineStr">
        <is>
          <t>1205003</t>
        </is>
      </c>
      <c r="B167" s="3" t="inlineStr">
        <is>
          <t>625</t>
        </is>
      </c>
      <c r="C167" s="10" t="n">
        <v>45667.63952546296</v>
      </c>
      <c r="D167" s="3" t="inlineStr">
        <is>
          <t>OBT100125154054-Graz</t>
        </is>
      </c>
      <c r="E167" s="10" t="n">
        <v>45667.65340277777</v>
      </c>
      <c r="F167" s="10" t="n">
        <v>45667.67728009259</v>
      </c>
      <c r="G167" s="11">
        <f>IF(AND(ISNUMBER(C167),ISNUMBER(E167)),(E167-C167),"")</f>
        <v/>
      </c>
      <c r="H167" s="11">
        <f>IF(AND(ISNUMBER(C167),ISNUMBER(F167)),(F167-C167),"")</f>
        <v/>
      </c>
    </row>
    <row r="168">
      <c r="A168" s="3" t="inlineStr">
        <is>
          <t>1205004</t>
        </is>
      </c>
      <c r="B168" s="3" t="inlineStr">
        <is>
          <t>625</t>
        </is>
      </c>
      <c r="C168" s="10" t="n">
        <v>45667.63952546296</v>
      </c>
      <c r="D168" s="3" t="inlineStr">
        <is>
          <t>OBT100125154054-Graz</t>
        </is>
      </c>
      <c r="E168" s="10" t="n">
        <v>45667.65340277777</v>
      </c>
      <c r="F168" s="10" t="n">
        <v>45667.67728009259</v>
      </c>
      <c r="G168" s="11">
        <f>IF(AND(ISNUMBER(C168),ISNUMBER(E168)),(E168-C168),"")</f>
        <v/>
      </c>
      <c r="H168" s="11">
        <f>IF(AND(ISNUMBER(C168),ISNUMBER(F168)),(F168-C168),"")</f>
        <v/>
      </c>
    </row>
    <row r="169">
      <c r="A169" s="3" t="inlineStr">
        <is>
          <t>1205101</t>
        </is>
      </c>
      <c r="B169" s="3" t="inlineStr">
        <is>
          <t>605</t>
        </is>
      </c>
      <c r="C169" s="10" t="n">
        <v>45667.66351851852</v>
      </c>
      <c r="D169" s="3" t="inlineStr">
        <is>
          <t>OBT100125162009-Salzburg</t>
        </is>
      </c>
      <c r="E169" s="10" t="n">
        <v>45667.68065972222</v>
      </c>
      <c r="F169" s="10" t="n">
        <v>45667.71026620371</v>
      </c>
      <c r="G169" s="11">
        <f>IF(AND(ISNUMBER(C169),ISNUMBER(E169)),(E169-C169),"")</f>
        <v/>
      </c>
      <c r="H169" s="11">
        <f>IF(AND(ISNUMBER(C169),ISNUMBER(F169)),(F169-C169),"")</f>
        <v/>
      </c>
    </row>
    <row r="170">
      <c r="A170" s="3" t="inlineStr">
        <is>
          <t>1205102</t>
        </is>
      </c>
      <c r="B170" s="3" t="inlineStr">
        <is>
          <t>605</t>
        </is>
      </c>
      <c r="C170" s="10" t="n">
        <v>45667.66351851852</v>
      </c>
      <c r="D170" s="3" t="inlineStr">
        <is>
          <t>OBT100125162009-Salzburg</t>
        </is>
      </c>
      <c r="E170" s="10" t="n">
        <v>45667.68065972222</v>
      </c>
      <c r="F170" s="10" t="n">
        <v>45667.71026620371</v>
      </c>
      <c r="G170" s="11">
        <f>IF(AND(ISNUMBER(C170),ISNUMBER(E170)),(E170-C170),"")</f>
        <v/>
      </c>
      <c r="H170" s="11">
        <f>IF(AND(ISNUMBER(C170),ISNUMBER(F170)),(F170-C170),"")</f>
        <v/>
      </c>
    </row>
    <row r="171">
      <c r="A171" s="3" t="inlineStr">
        <is>
          <t>1205103</t>
        </is>
      </c>
      <c r="B171" s="3" t="inlineStr">
        <is>
          <t>605</t>
        </is>
      </c>
      <c r="C171" s="10" t="n">
        <v>45667.66351851852</v>
      </c>
      <c r="D171" s="3" t="inlineStr">
        <is>
          <t>OBT100125162009-Salzburg</t>
        </is>
      </c>
      <c r="E171" s="10" t="n">
        <v>45667.68065972222</v>
      </c>
      <c r="F171" s="10" t="n">
        <v>45667.71026620371</v>
      </c>
      <c r="G171" s="11">
        <f>IF(AND(ISNUMBER(C171),ISNUMBER(E171)),(E171-C171),"")</f>
        <v/>
      </c>
      <c r="H171" s="11">
        <f>IF(AND(ISNUMBER(C171),ISNUMBER(F171)),(F171-C171),"")</f>
        <v/>
      </c>
    </row>
    <row r="172">
      <c r="A172" s="3" t="inlineStr">
        <is>
          <t>1205201</t>
        </is>
      </c>
      <c r="B172" s="3" t="inlineStr">
        <is>
          <t>607</t>
        </is>
      </c>
      <c r="C172" s="10" t="n">
        <v>45667.68728009259</v>
      </c>
      <c r="D172" s="3" t="inlineStr">
        <is>
          <t>OBT100125165346-Linz</t>
        </is>
      </c>
      <c r="E172" s="10" t="n">
        <v>45667.70400462963</v>
      </c>
      <c r="F172" s="10" t="n">
        <v>45667.73730324074</v>
      </c>
      <c r="G172" s="11">
        <f>IF(AND(ISNUMBER(C172),ISNUMBER(E172)),(E172-C172),"")</f>
        <v/>
      </c>
      <c r="H172" s="11">
        <f>IF(AND(ISNUMBER(C172),ISNUMBER(F172)),(F172-C172),"")</f>
        <v/>
      </c>
    </row>
    <row r="173">
      <c r="A173" s="3" t="inlineStr">
        <is>
          <t>1205202</t>
        </is>
      </c>
      <c r="B173" s="3" t="inlineStr">
        <is>
          <t>606</t>
        </is>
      </c>
      <c r="C173" s="10" t="n">
        <v>45667.68915509259</v>
      </c>
      <c r="D173" s="3" t="inlineStr">
        <is>
          <t>OBT100125165112-Innsbruck</t>
        </is>
      </c>
      <c r="E173" s="10" t="n">
        <v>45667.70222222222</v>
      </c>
      <c r="F173" s="10" t="n">
        <v>45667.73171296297</v>
      </c>
      <c r="G173" s="11">
        <f>IF(AND(ISNUMBER(C173),ISNUMBER(E173)),(E173-C173),"")</f>
        <v/>
      </c>
      <c r="H173" s="11">
        <f>IF(AND(ISNUMBER(C173),ISNUMBER(F173)),(F173-C173),"")</f>
        <v/>
      </c>
    </row>
    <row r="174">
      <c r="A174" s="3" t="inlineStr">
        <is>
          <t>1205203</t>
        </is>
      </c>
      <c r="B174" s="3" t="inlineStr">
        <is>
          <t>607</t>
        </is>
      </c>
      <c r="C174" s="10" t="n">
        <v>45667.69091435185</v>
      </c>
      <c r="D174" s="3" t="inlineStr">
        <is>
          <t>OBT100125165346-Linz</t>
        </is>
      </c>
      <c r="E174" s="10" t="n">
        <v>45667.70400462963</v>
      </c>
      <c r="F174" s="10" t="n">
        <v>45667.73730324074</v>
      </c>
      <c r="G174" s="11">
        <f>IF(AND(ISNUMBER(C174),ISNUMBER(E174)),(E174-C174),"")</f>
        <v/>
      </c>
      <c r="H174" s="11">
        <f>IF(AND(ISNUMBER(C174),ISNUMBER(F174)),(F174-C174),"")</f>
        <v/>
      </c>
    </row>
    <row r="175">
      <c r="A175" s="3" t="inlineStr">
        <is>
          <t>1205301</t>
        </is>
      </c>
      <c r="B175" s="3" t="inlineStr">
        <is>
          <t>613</t>
        </is>
      </c>
      <c r="C175" s="10" t="n">
        <v>45667.71424768519</v>
      </c>
      <c r="D175" s="3" t="inlineStr">
        <is>
          <t>OBT110125122417-Budapest</t>
        </is>
      </c>
      <c r="E175" s="10" t="n">
        <v>45668.51686342592</v>
      </c>
      <c r="F175" s="10" t="n">
        <v>45668.54067129629</v>
      </c>
      <c r="G175" s="11">
        <f>IF(AND(ISNUMBER(C175),ISNUMBER(E175)),(E175-C175),"")</f>
        <v/>
      </c>
      <c r="H175" s="11">
        <f>IF(AND(ISNUMBER(C175),ISNUMBER(F175)),(F175-C175),"")</f>
        <v/>
      </c>
    </row>
    <row r="176">
      <c r="A176" s="3" t="inlineStr">
        <is>
          <t>1205302</t>
        </is>
      </c>
      <c r="B176" s="3" t="inlineStr">
        <is>
          <t>615</t>
        </is>
      </c>
      <c r="C176" s="10" t="n">
        <v>45667.71545138889</v>
      </c>
      <c r="D176" s="3" t="inlineStr">
        <is>
          <t>OBT110125063829-Ljubljana</t>
        </is>
      </c>
      <c r="E176" s="10" t="n">
        <v>45668.27672453703</v>
      </c>
      <c r="F176" s="10" t="n">
        <v>45668.29773148148</v>
      </c>
      <c r="G176" s="11">
        <f>IF(AND(ISNUMBER(C176),ISNUMBER(E176)),(E176-C176),"")</f>
        <v/>
      </c>
      <c r="H176" s="11">
        <f>IF(AND(ISNUMBER(C176),ISNUMBER(F176)),(F176-C176),"")</f>
        <v/>
      </c>
    </row>
    <row r="177">
      <c r="A177" s="3" t="inlineStr">
        <is>
          <t>1205303</t>
        </is>
      </c>
      <c r="B177" s="3" t="inlineStr">
        <is>
          <t>613</t>
        </is>
      </c>
      <c r="C177" s="10" t="n">
        <v>45667.71679398148</v>
      </c>
      <c r="D177" s="3" t="inlineStr">
        <is>
          <t>OBT110125122417-Budapest</t>
        </is>
      </c>
      <c r="E177" s="10" t="n">
        <v>45668.51686342592</v>
      </c>
      <c r="F177" s="10" t="n">
        <v>45668.54067129629</v>
      </c>
      <c r="G177" s="11">
        <f>IF(AND(ISNUMBER(C177),ISNUMBER(E177)),(E177-C177),"")</f>
        <v/>
      </c>
      <c r="H177" s="11">
        <f>IF(AND(ISNUMBER(C177),ISNUMBER(F177)),(F177-C177),"")</f>
        <v/>
      </c>
    </row>
    <row r="178">
      <c r="A178" s="3" t="inlineStr">
        <is>
          <t>1205401</t>
        </is>
      </c>
      <c r="B178" s="3" t="inlineStr">
        <is>
          <t>625</t>
        </is>
      </c>
      <c r="C178" s="10" t="n">
        <v>45667.8434375</v>
      </c>
      <c r="D178" s="3" t="inlineStr">
        <is>
          <t>OBT110125074027-Salzburg</t>
        </is>
      </c>
      <c r="E178" s="10" t="n">
        <v>45668.31975694445</v>
      </c>
      <c r="F178" s="10" t="n">
        <v>45668.34769675926</v>
      </c>
      <c r="G178" s="11">
        <f>IF(AND(ISNUMBER(C178),ISNUMBER(E178)),(E178-C178),"")</f>
        <v/>
      </c>
      <c r="H178" s="11">
        <f>IF(AND(ISNUMBER(C178),ISNUMBER(F178)),(F178-C178),"")</f>
        <v/>
      </c>
    </row>
    <row r="179">
      <c r="A179" s="3" t="inlineStr">
        <is>
          <t>1205402</t>
        </is>
      </c>
      <c r="B179" s="3" t="inlineStr">
        <is>
          <t>625</t>
        </is>
      </c>
      <c r="C179" s="10" t="n">
        <v>45667.8434375</v>
      </c>
      <c r="D179" s="3" t="inlineStr">
        <is>
          <t>OBT110125074027-Salzburg</t>
        </is>
      </c>
      <c r="E179" s="10" t="n">
        <v>45668.31975694445</v>
      </c>
      <c r="F179" s="10" t="n">
        <v>45668.34769675926</v>
      </c>
      <c r="G179" s="11">
        <f>IF(AND(ISNUMBER(C179),ISNUMBER(E179)),(E179-C179),"")</f>
        <v/>
      </c>
      <c r="H179" s="11">
        <f>IF(AND(ISNUMBER(C179),ISNUMBER(F179)),(F179-C179),"")</f>
        <v/>
      </c>
    </row>
    <row r="180">
      <c r="A180" s="3" t="inlineStr">
        <is>
          <t>1205403</t>
        </is>
      </c>
      <c r="B180" s="3" t="inlineStr">
        <is>
          <t>605</t>
        </is>
      </c>
      <c r="C180" s="10" t="n">
        <v>45667.84523148148</v>
      </c>
      <c r="D180" s="3" t="inlineStr">
        <is>
          <t>OBT110125125652-Vienna</t>
        </is>
      </c>
      <c r="E180" s="10" t="n">
        <v>45668.53949074074</v>
      </c>
      <c r="F180" s="10" t="n">
        <v>45668.57042824074</v>
      </c>
      <c r="G180" s="11">
        <f>IF(AND(ISNUMBER(C180),ISNUMBER(E180)),(E180-C180),"")</f>
        <v/>
      </c>
      <c r="H180" s="11">
        <f>IF(AND(ISNUMBER(C180),ISNUMBER(F180)),(F180-C180),"")</f>
        <v/>
      </c>
    </row>
    <row r="181">
      <c r="A181" s="3" t="inlineStr">
        <is>
          <t>1205501</t>
        </is>
      </c>
      <c r="B181" s="3" t="inlineStr">
        <is>
          <t>623</t>
        </is>
      </c>
      <c r="C181" s="10" t="n">
        <v>45667.94768518519</v>
      </c>
      <c r="D181" s="3" t="inlineStr">
        <is>
          <t>OBT110125073539-Innsbruck</t>
        </is>
      </c>
      <c r="E181" s="10" t="n">
        <v>45668.31642361111</v>
      </c>
      <c r="F181" s="10" t="n">
        <v>45668.35299768519</v>
      </c>
      <c r="G181" s="11">
        <f>IF(AND(ISNUMBER(C181),ISNUMBER(E181)),(E181-C181),"")</f>
        <v/>
      </c>
      <c r="H181" s="11">
        <f>IF(AND(ISNUMBER(C181),ISNUMBER(F181)),(F181-C181),"")</f>
        <v/>
      </c>
    </row>
    <row r="182">
      <c r="A182" s="3" t="inlineStr">
        <is>
          <t>1205502</t>
        </is>
      </c>
      <c r="B182" s="3" t="inlineStr">
        <is>
          <t>619</t>
        </is>
      </c>
      <c r="C182" s="10" t="n">
        <v>45667.94967592593</v>
      </c>
      <c r="D182" s="3" t="inlineStr">
        <is>
          <t>OBT110125063952-Graz</t>
        </is>
      </c>
      <c r="E182" s="10" t="n">
        <v>45668.27768518519</v>
      </c>
      <c r="F182" s="10" t="n">
        <v>45668.30443287037</v>
      </c>
      <c r="G182" s="11">
        <f>IF(AND(ISNUMBER(C182),ISNUMBER(E182)),(E182-C182),"")</f>
        <v/>
      </c>
      <c r="H182" s="11">
        <f>IF(AND(ISNUMBER(C182),ISNUMBER(F182)),(F182-C182),"")</f>
        <v/>
      </c>
    </row>
    <row r="183">
      <c r="A183" s="3" t="inlineStr">
        <is>
          <t>1205503</t>
        </is>
      </c>
      <c r="B183" s="3" t="inlineStr">
        <is>
          <t>623</t>
        </is>
      </c>
      <c r="C183" s="10" t="n">
        <v>45667.95146990741</v>
      </c>
      <c r="D183" s="3" t="inlineStr">
        <is>
          <t>OBT110125073539-Innsbruck</t>
        </is>
      </c>
      <c r="E183" s="10" t="n">
        <v>45668.31642361111</v>
      </c>
      <c r="F183" s="10" t="n">
        <v>45668.35299768519</v>
      </c>
      <c r="G183" s="11">
        <f>IF(AND(ISNUMBER(C183),ISNUMBER(E183)),(E183-C183),"")</f>
        <v/>
      </c>
      <c r="H183" s="11">
        <f>IF(AND(ISNUMBER(C183),ISNUMBER(F183)),(F183-C183),"")</f>
        <v/>
      </c>
    </row>
    <row r="184">
      <c r="A184" s="3" t="inlineStr">
        <is>
          <t>1205601</t>
        </is>
      </c>
      <c r="B184" s="3" t="inlineStr">
        <is>
          <t>619</t>
        </is>
      </c>
      <c r="C184" s="10" t="n">
        <v>45668.25972222222</v>
      </c>
      <c r="D184" s="3" t="inlineStr">
        <is>
          <t>OBT110125063952-Graz</t>
        </is>
      </c>
      <c r="E184" s="10" t="n">
        <v>45668.27768518519</v>
      </c>
      <c r="F184" s="10" t="n">
        <v>45668.30443287037</v>
      </c>
      <c r="G184" s="11">
        <f>IF(AND(ISNUMBER(C184),ISNUMBER(E184)),(E184-C184),"")</f>
        <v/>
      </c>
      <c r="H184" s="11">
        <f>IF(AND(ISNUMBER(C184),ISNUMBER(F184)),(F184-C184),"")</f>
        <v/>
      </c>
    </row>
    <row r="185">
      <c r="A185" s="3" t="inlineStr">
        <is>
          <t>1205602</t>
        </is>
      </c>
      <c r="B185" s="3" t="inlineStr">
        <is>
          <t>619</t>
        </is>
      </c>
      <c r="C185" s="10" t="n">
        <v>45668.25972222222</v>
      </c>
      <c r="D185" s="3" t="inlineStr">
        <is>
          <t>OBT110125063952-Graz</t>
        </is>
      </c>
      <c r="E185" s="10" t="n">
        <v>45668.27768518519</v>
      </c>
      <c r="F185" s="10" t="n">
        <v>45668.30443287037</v>
      </c>
      <c r="G185" s="11">
        <f>IF(AND(ISNUMBER(C185),ISNUMBER(E185)),(E185-C185),"")</f>
        <v/>
      </c>
      <c r="H185" s="11">
        <f>IF(AND(ISNUMBER(C185),ISNUMBER(F185)),(F185-C185),"")</f>
        <v/>
      </c>
    </row>
    <row r="186">
      <c r="A186" s="3" t="inlineStr">
        <is>
          <t>1205701</t>
        </is>
      </c>
      <c r="B186" s="3" t="inlineStr">
        <is>
          <t>615</t>
        </is>
      </c>
      <c r="C186" s="10" t="n">
        <v>45668.2685300926</v>
      </c>
      <c r="D186" s="3" t="inlineStr">
        <is>
          <t>OBT110125063829-Ljubljana</t>
        </is>
      </c>
      <c r="E186" s="10" t="n">
        <v>45668.27672453703</v>
      </c>
      <c r="F186" s="10" t="n">
        <v>45668.29773148148</v>
      </c>
      <c r="G186" s="11">
        <f>IF(AND(ISNUMBER(C186),ISNUMBER(E186)),(E186-C186),"")</f>
        <v/>
      </c>
      <c r="H186" s="11">
        <f>IF(AND(ISNUMBER(C186),ISNUMBER(F186)),(F186-C186),"")</f>
        <v/>
      </c>
    </row>
    <row r="187">
      <c r="A187" s="3" t="inlineStr">
        <is>
          <t>1205702</t>
        </is>
      </c>
      <c r="B187" s="3" t="inlineStr">
        <is>
          <t>606</t>
        </is>
      </c>
      <c r="C187" s="10" t="n">
        <v>45668.2702662037</v>
      </c>
      <c r="D187" s="3" t="inlineStr">
        <is>
          <t>OBT110125215724-Graz</t>
        </is>
      </c>
      <c r="E187" s="10" t="n">
        <v>45668.91486111111</v>
      </c>
      <c r="F187" s="10" t="n">
        <v>45668.96125</v>
      </c>
      <c r="G187" s="11">
        <f>IF(AND(ISNUMBER(C187),ISNUMBER(E187)),(E187-C187),"")</f>
        <v/>
      </c>
      <c r="H187" s="11">
        <f>IF(AND(ISNUMBER(C187),ISNUMBER(F187)),(F187-C187),"")</f>
        <v/>
      </c>
    </row>
    <row r="188">
      <c r="A188" s="3" t="inlineStr">
        <is>
          <t>1205703</t>
        </is>
      </c>
      <c r="B188" s="3" t="inlineStr">
        <is>
          <t>607</t>
        </is>
      </c>
      <c r="C188" s="10" t="n">
        <v>45668.2719212963</v>
      </c>
      <c r="D188" s="3" t="inlineStr">
        <is>
          <t>OBT110125071413-Ljubljana</t>
        </is>
      </c>
      <c r="E188" s="10" t="n">
        <v>45668.30153935185</v>
      </c>
      <c r="F188" s="10" t="n">
        <v>45668.33394675926</v>
      </c>
      <c r="G188" s="11">
        <f>IF(AND(ISNUMBER(C188),ISNUMBER(E188)),(E188-C188),"")</f>
        <v/>
      </c>
      <c r="H188" s="11">
        <f>IF(AND(ISNUMBER(C188),ISNUMBER(F188)),(F188-C188),"")</f>
        <v/>
      </c>
    </row>
    <row r="189">
      <c r="A189" s="3" t="inlineStr">
        <is>
          <t>1205801</t>
        </is>
      </c>
      <c r="B189" s="3" t="inlineStr">
        <is>
          <t>607</t>
        </is>
      </c>
      <c r="C189" s="10" t="n">
        <v>45668.28112268518</v>
      </c>
      <c r="D189" s="3" t="inlineStr">
        <is>
          <t>OBT110125071413-Ljubljana</t>
        </is>
      </c>
      <c r="E189" s="10" t="n">
        <v>45668.30153935185</v>
      </c>
      <c r="F189" s="10" t="n">
        <v>45668.33394675926</v>
      </c>
      <c r="G189" s="11">
        <f>IF(AND(ISNUMBER(C189),ISNUMBER(E189)),(E189-C189),"")</f>
        <v/>
      </c>
      <c r="H189" s="11">
        <f>IF(AND(ISNUMBER(C189),ISNUMBER(F189)),(F189-C189),"")</f>
        <v/>
      </c>
    </row>
    <row r="190">
      <c r="A190" s="3" t="inlineStr">
        <is>
          <t>1205802</t>
        </is>
      </c>
      <c r="B190" s="3" t="inlineStr">
        <is>
          <t>607</t>
        </is>
      </c>
      <c r="C190" s="10" t="n">
        <v>45668.28112268518</v>
      </c>
      <c r="D190" s="3" t="inlineStr">
        <is>
          <t>OBT110125071413-Ljubljana</t>
        </is>
      </c>
      <c r="E190" s="10" t="n">
        <v>45668.30153935185</v>
      </c>
      <c r="F190" s="10" t="n">
        <v>45668.33394675926</v>
      </c>
      <c r="G190" s="11">
        <f>IF(AND(ISNUMBER(C190),ISNUMBER(E190)),(E190-C190),"")</f>
        <v/>
      </c>
      <c r="H190" s="11">
        <f>IF(AND(ISNUMBER(C190),ISNUMBER(F190)),(F190-C190),"")</f>
        <v/>
      </c>
    </row>
    <row r="191">
      <c r="A191" s="3" t="inlineStr">
        <is>
          <t>1205803</t>
        </is>
      </c>
      <c r="B191" s="3" t="inlineStr">
        <is>
          <t>607</t>
        </is>
      </c>
      <c r="C191" s="10" t="n">
        <v>45668.28112268518</v>
      </c>
      <c r="D191" s="3" t="inlineStr">
        <is>
          <t>OBT110125071413-Ljubljana</t>
        </is>
      </c>
      <c r="E191" s="10" t="n">
        <v>45668.30153935185</v>
      </c>
      <c r="F191" s="10" t="n">
        <v>45668.33394675926</v>
      </c>
      <c r="G191" s="11">
        <f>IF(AND(ISNUMBER(C191),ISNUMBER(E191)),(E191-C191),"")</f>
        <v/>
      </c>
      <c r="H191" s="11">
        <f>IF(AND(ISNUMBER(C191),ISNUMBER(F191)),(F191-C191),"")</f>
        <v/>
      </c>
    </row>
    <row r="192">
      <c r="A192" s="3" t="inlineStr">
        <is>
          <t>1205901</t>
        </is>
      </c>
      <c r="B192" s="3" t="inlineStr">
        <is>
          <t>623</t>
        </is>
      </c>
      <c r="C192" s="10" t="n">
        <v>45668.29848379629</v>
      </c>
      <c r="D192" s="3" t="inlineStr">
        <is>
          <t>OBT110125073539-Innsbruck</t>
        </is>
      </c>
      <c r="E192" s="10" t="n">
        <v>45668.31642361111</v>
      </c>
      <c r="F192" s="10" t="n">
        <v>45668.35299768519</v>
      </c>
      <c r="G192" s="11">
        <f>IF(AND(ISNUMBER(C192),ISNUMBER(E192)),(E192-C192),"")</f>
        <v/>
      </c>
      <c r="H192" s="11">
        <f>IF(AND(ISNUMBER(C192),ISNUMBER(F192)),(F192-C192),"")</f>
        <v/>
      </c>
    </row>
    <row r="193">
      <c r="A193" s="3" t="inlineStr">
        <is>
          <t>1205902</t>
        </is>
      </c>
      <c r="B193" s="3" t="inlineStr">
        <is>
          <t>623</t>
        </is>
      </c>
      <c r="C193" s="10" t="n">
        <v>45668.29848379629</v>
      </c>
      <c r="D193" s="3" t="inlineStr">
        <is>
          <t>OBT110125073539-Innsbruck</t>
        </is>
      </c>
      <c r="E193" s="10" t="n">
        <v>45668.31642361111</v>
      </c>
      <c r="F193" s="10" t="n">
        <v>45668.35299768519</v>
      </c>
      <c r="G193" s="11">
        <f>IF(AND(ISNUMBER(C193),ISNUMBER(E193)),(E193-C193),"")</f>
        <v/>
      </c>
      <c r="H193" s="11">
        <f>IF(AND(ISNUMBER(C193),ISNUMBER(F193)),(F193-C193),"")</f>
        <v/>
      </c>
    </row>
    <row r="194">
      <c r="A194" s="3" t="inlineStr">
        <is>
          <t>1205903</t>
        </is>
      </c>
      <c r="B194" s="3" t="inlineStr">
        <is>
          <t>623</t>
        </is>
      </c>
      <c r="C194" s="10" t="n">
        <v>45668.29848379629</v>
      </c>
      <c r="D194" s="3" t="inlineStr">
        <is>
          <t>OBT110125073539-Innsbruck</t>
        </is>
      </c>
      <c r="E194" s="10" t="n">
        <v>45668.31642361111</v>
      </c>
      <c r="F194" s="10" t="n">
        <v>45668.35299768519</v>
      </c>
      <c r="G194" s="11">
        <f>IF(AND(ISNUMBER(C194),ISNUMBER(E194)),(E194-C194),"")</f>
        <v/>
      </c>
      <c r="H194" s="11">
        <f>IF(AND(ISNUMBER(C194),ISNUMBER(F194)),(F194-C194),"")</f>
        <v/>
      </c>
    </row>
    <row r="195">
      <c r="A195" s="3" t="inlineStr">
        <is>
          <t>1206001</t>
        </is>
      </c>
      <c r="B195" s="3" t="inlineStr">
        <is>
          <t>625</t>
        </is>
      </c>
      <c r="C195" s="10" t="n">
        <v>45668.31400462963</v>
      </c>
      <c r="D195" s="3" t="inlineStr">
        <is>
          <t>OBT110125074027-Salzburg</t>
        </is>
      </c>
      <c r="E195" s="10" t="n">
        <v>45668.31975694445</v>
      </c>
      <c r="F195" s="10" t="n">
        <v>45668.34769675926</v>
      </c>
      <c r="G195" s="11">
        <f>IF(AND(ISNUMBER(C195),ISNUMBER(E195)),(E195-C195),"")</f>
        <v/>
      </c>
      <c r="H195" s="11">
        <f>IF(AND(ISNUMBER(C195),ISNUMBER(F195)),(F195-C195),"")</f>
        <v/>
      </c>
    </row>
    <row r="196">
      <c r="A196" s="3" t="inlineStr">
        <is>
          <t>1206002</t>
        </is>
      </c>
      <c r="B196" s="3" t="inlineStr">
        <is>
          <t>627</t>
        </is>
      </c>
      <c r="C196" s="10" t="n">
        <v>45668.31594907407</v>
      </c>
      <c r="D196" s="3" t="inlineStr">
        <is>
          <t>OBT110125130321-Klagenfurt</t>
        </is>
      </c>
      <c r="E196" s="10" t="n">
        <v>45668.54399305556</v>
      </c>
      <c r="F196" s="10" t="n">
        <v>45668.59255787037</v>
      </c>
      <c r="G196" s="11">
        <f>IF(AND(ISNUMBER(C196),ISNUMBER(E196)),(E196-C196),"")</f>
        <v/>
      </c>
      <c r="H196" s="11">
        <f>IF(AND(ISNUMBER(C196),ISNUMBER(F196)),(F196-C196),"")</f>
        <v/>
      </c>
    </row>
    <row r="197">
      <c r="A197" s="3" t="inlineStr">
        <is>
          <t>1206003</t>
        </is>
      </c>
      <c r="B197" s="3" t="inlineStr">
        <is>
          <t>615</t>
        </is>
      </c>
      <c r="C197" s="10" t="n">
        <v>45668.3171875</v>
      </c>
      <c r="D197" s="3" t="inlineStr">
        <is>
          <t>OBT110125130624-Salzburg</t>
        </is>
      </c>
      <c r="E197" s="10" t="n">
        <v>45668.54611111111</v>
      </c>
      <c r="F197" s="10" t="n">
        <v>45668.59888888889</v>
      </c>
      <c r="G197" s="11">
        <f>IF(AND(ISNUMBER(C197),ISNUMBER(E197)),(E197-C197),"")</f>
        <v/>
      </c>
      <c r="H197" s="11">
        <f>IF(AND(ISNUMBER(C197),ISNUMBER(F197)),(F197-C197),"")</f>
        <v/>
      </c>
    </row>
    <row r="198">
      <c r="A198" s="3" t="inlineStr">
        <is>
          <t>1206101</t>
        </is>
      </c>
      <c r="B198" s="3" t="inlineStr">
        <is>
          <t>625</t>
        </is>
      </c>
      <c r="C198" s="10" t="n">
        <v>45668.50979166666</v>
      </c>
      <c r="D198" s="3" t="inlineStr">
        <is>
          <t>OBT110125130204-Ljubljana</t>
        </is>
      </c>
      <c r="E198" s="10" t="n">
        <v>45668.54310185185</v>
      </c>
      <c r="F198" s="10" t="n">
        <v>45668.5658912037</v>
      </c>
      <c r="G198" s="11">
        <f>IF(AND(ISNUMBER(C198),ISNUMBER(E198)),(E198-C198),"")</f>
        <v/>
      </c>
      <c r="H198" s="11">
        <f>IF(AND(ISNUMBER(C198),ISNUMBER(F198)),(F198-C198),"")</f>
        <v/>
      </c>
    </row>
    <row r="199">
      <c r="A199" s="3" t="inlineStr">
        <is>
          <t>1206102</t>
        </is>
      </c>
      <c r="B199" s="3" t="inlineStr">
        <is>
          <t>613</t>
        </is>
      </c>
      <c r="C199" s="10" t="n">
        <v>45668.51109953703</v>
      </c>
      <c r="D199" s="3" t="inlineStr">
        <is>
          <t>OBT110125122417-Budapest</t>
        </is>
      </c>
      <c r="E199" s="10" t="n">
        <v>45668.51686342592</v>
      </c>
      <c r="F199" s="10" t="n">
        <v>45668.54067129629</v>
      </c>
      <c r="G199" s="11">
        <f>IF(AND(ISNUMBER(C199),ISNUMBER(E199)),(E199-C199),"")</f>
        <v/>
      </c>
      <c r="H199" s="11">
        <f>IF(AND(ISNUMBER(C199),ISNUMBER(F199)),(F199-C199),"")</f>
        <v/>
      </c>
    </row>
    <row r="200">
      <c r="A200" s="3" t="inlineStr">
        <is>
          <t>1206201</t>
        </is>
      </c>
      <c r="B200" s="3" t="inlineStr">
        <is>
          <t>605</t>
        </is>
      </c>
      <c r="C200" s="10" t="n">
        <v>45668.52150462963</v>
      </c>
      <c r="D200" s="3" t="inlineStr">
        <is>
          <t>OBT110125125652-Vienna</t>
        </is>
      </c>
      <c r="E200" s="10" t="n">
        <v>45668.53949074074</v>
      </c>
      <c r="F200" s="10" t="n">
        <v>45668.57042824074</v>
      </c>
      <c r="G200" s="11">
        <f>IF(AND(ISNUMBER(C200),ISNUMBER(E200)),(E200-C200),"")</f>
        <v/>
      </c>
      <c r="H200" s="11">
        <f>IF(AND(ISNUMBER(C200),ISNUMBER(F200)),(F200-C200),"")</f>
        <v/>
      </c>
    </row>
    <row r="201">
      <c r="A201" s="3" t="inlineStr">
        <is>
          <t>1206202</t>
        </is>
      </c>
      <c r="B201" s="3" t="inlineStr">
        <is>
          <t>605</t>
        </is>
      </c>
      <c r="C201" s="10" t="n">
        <v>45668.52150462963</v>
      </c>
      <c r="D201" s="3" t="inlineStr">
        <is>
          <t>OBT110125125652-Vienna</t>
        </is>
      </c>
      <c r="E201" s="10" t="n">
        <v>45668.53949074074</v>
      </c>
      <c r="F201" s="10" t="n">
        <v>45668.57042824074</v>
      </c>
      <c r="G201" s="11">
        <f>IF(AND(ISNUMBER(C201),ISNUMBER(E201)),(E201-C201),"")</f>
        <v/>
      </c>
      <c r="H201" s="11">
        <f>IF(AND(ISNUMBER(C201),ISNUMBER(F201)),(F201-C201),"")</f>
        <v/>
      </c>
    </row>
    <row r="202">
      <c r="A202" s="3" t="inlineStr">
        <is>
          <t>1206203</t>
        </is>
      </c>
      <c r="B202" s="3" t="inlineStr">
        <is>
          <t>606</t>
        </is>
      </c>
      <c r="C202" s="10" t="n">
        <v>45668.52326388889</v>
      </c>
      <c r="D202" s="3" t="inlineStr">
        <is>
          <t>OBT110125215724-Graz</t>
        </is>
      </c>
      <c r="E202" s="10" t="n">
        <v>45668.91486111111</v>
      </c>
      <c r="F202" s="10" t="n">
        <v>45668.96125</v>
      </c>
      <c r="G202" s="11">
        <f>IF(AND(ISNUMBER(C202),ISNUMBER(E202)),(E202-C202),"")</f>
        <v/>
      </c>
      <c r="H202" s="11">
        <f>IF(AND(ISNUMBER(C202),ISNUMBER(F202)),(F202-C202),"")</f>
        <v/>
      </c>
    </row>
    <row r="203">
      <c r="A203" s="3" t="inlineStr">
        <is>
          <t>1206301</t>
        </is>
      </c>
      <c r="B203" s="3" t="inlineStr">
        <is>
          <t>615</t>
        </is>
      </c>
      <c r="C203" s="10" t="n">
        <v>45668.52976851852</v>
      </c>
      <c r="D203" s="3" t="inlineStr">
        <is>
          <t>OBT110125130624-Salzburg</t>
        </is>
      </c>
      <c r="E203" s="10" t="n">
        <v>45668.54611111111</v>
      </c>
      <c r="F203" s="10" t="n">
        <v>45668.59888888889</v>
      </c>
      <c r="G203" s="11">
        <f>IF(AND(ISNUMBER(C203),ISNUMBER(E203)),(E203-C203),"")</f>
        <v/>
      </c>
      <c r="H203" s="11">
        <f>IF(AND(ISNUMBER(C203),ISNUMBER(F203)),(F203-C203),"")</f>
        <v/>
      </c>
    </row>
    <row r="204">
      <c r="A204" s="3" t="inlineStr">
        <is>
          <t>1206302</t>
        </is>
      </c>
      <c r="B204" s="3" t="inlineStr">
        <is>
          <t>615</t>
        </is>
      </c>
      <c r="C204" s="10" t="n">
        <v>45668.52976851852</v>
      </c>
      <c r="D204" s="3" t="inlineStr">
        <is>
          <t>OBT110125130624-Salzburg</t>
        </is>
      </c>
      <c r="E204" s="10" t="n">
        <v>45668.54611111111</v>
      </c>
      <c r="F204" s="10" t="n">
        <v>45668.59888888889</v>
      </c>
      <c r="G204" s="11">
        <f>IF(AND(ISNUMBER(C204),ISNUMBER(E204)),(E204-C204),"")</f>
        <v/>
      </c>
      <c r="H204" s="11">
        <f>IF(AND(ISNUMBER(C204),ISNUMBER(F204)),(F204-C204),"")</f>
        <v/>
      </c>
    </row>
    <row r="205">
      <c r="A205" s="3" t="inlineStr">
        <is>
          <t>1206401</t>
        </is>
      </c>
      <c r="B205" s="3" t="inlineStr">
        <is>
          <t>627</t>
        </is>
      </c>
      <c r="C205" s="10" t="n">
        <v>45668.53582175926</v>
      </c>
      <c r="D205" s="3" t="inlineStr">
        <is>
          <t>OBT110125130321-Klagenfurt</t>
        </is>
      </c>
      <c r="E205" s="10" t="n">
        <v>45668.54399305556</v>
      </c>
      <c r="F205" s="10" t="n">
        <v>45668.59255787037</v>
      </c>
      <c r="G205" s="11">
        <f>IF(AND(ISNUMBER(C205),ISNUMBER(E205)),(E205-C205),"")</f>
        <v/>
      </c>
      <c r="H205" s="11">
        <f>IF(AND(ISNUMBER(C205),ISNUMBER(F205)),(F205-C205),"")</f>
        <v/>
      </c>
    </row>
    <row r="206">
      <c r="A206" s="3" t="inlineStr">
        <is>
          <t>1206402</t>
        </is>
      </c>
      <c r="B206" s="3" t="inlineStr">
        <is>
          <t>625</t>
        </is>
      </c>
      <c r="C206" s="10" t="n">
        <v>45668.53788194444</v>
      </c>
      <c r="D206" s="3" t="inlineStr">
        <is>
          <t>OBT110125130204-Ljubljana</t>
        </is>
      </c>
      <c r="E206" s="10" t="n">
        <v>45668.54310185185</v>
      </c>
      <c r="F206" s="10" t="n">
        <v>45668.5658912037</v>
      </c>
      <c r="G206" s="11">
        <f>IF(AND(ISNUMBER(C206),ISNUMBER(E206)),(E206-C206),"")</f>
        <v/>
      </c>
      <c r="H206" s="11">
        <f>IF(AND(ISNUMBER(C206),ISNUMBER(F206)),(F206-C206),"")</f>
        <v/>
      </c>
    </row>
    <row r="207">
      <c r="A207" s="3" t="inlineStr">
        <is>
          <t>1206403</t>
        </is>
      </c>
      <c r="B207" s="3" t="inlineStr">
        <is>
          <t>619</t>
        </is>
      </c>
      <c r="C207" s="10" t="n">
        <v>45668.53990740741</v>
      </c>
      <c r="D207" s="3" t="inlineStr">
        <is>
          <t>OBT120125084207-Klagenfurt</t>
        </is>
      </c>
      <c r="E207" s="10" t="n">
        <v>45669.36258101852</v>
      </c>
      <c r="F207" s="10" t="n">
        <v>45669.39215277778</v>
      </c>
      <c r="G207" s="11">
        <f>IF(AND(ISNUMBER(C207),ISNUMBER(E207)),(E207-C207),"")</f>
        <v/>
      </c>
      <c r="H207" s="11">
        <f>IF(AND(ISNUMBER(C207),ISNUMBER(F207)),(F207-C207),"")</f>
        <v/>
      </c>
    </row>
    <row r="208">
      <c r="A208" s="3" t="inlineStr">
        <is>
          <t>1206501</t>
        </is>
      </c>
      <c r="B208" s="3" t="inlineStr">
        <is>
          <t>613</t>
        </is>
      </c>
      <c r="C208" s="10" t="n">
        <v>45668.54681712963</v>
      </c>
      <c r="D208" s="3" t="inlineStr">
        <is>
          <t>OBT110125133600-Ljubljana</t>
        </is>
      </c>
      <c r="E208" s="10" t="n">
        <v>45668.56666666667</v>
      </c>
      <c r="F208" s="10" t="n">
        <v>45668.60259259259</v>
      </c>
      <c r="G208" s="11">
        <f>IF(AND(ISNUMBER(C208),ISNUMBER(E208)),(E208-C208),"")</f>
        <v/>
      </c>
      <c r="H208" s="11">
        <f>IF(AND(ISNUMBER(C208),ISNUMBER(F208)),(F208-C208),"")</f>
        <v/>
      </c>
    </row>
    <row r="209">
      <c r="A209" s="3" t="inlineStr">
        <is>
          <t>1206502</t>
        </is>
      </c>
      <c r="B209" s="3" t="inlineStr">
        <is>
          <t>613</t>
        </is>
      </c>
      <c r="C209" s="10" t="n">
        <v>45668.54681712963</v>
      </c>
      <c r="D209" s="3" t="inlineStr">
        <is>
          <t>OBT110125133600-Ljubljana</t>
        </is>
      </c>
      <c r="E209" s="10" t="n">
        <v>45668.56666666667</v>
      </c>
      <c r="F209" s="10" t="n">
        <v>45668.60259259259</v>
      </c>
      <c r="G209" s="11">
        <f>IF(AND(ISNUMBER(C209),ISNUMBER(E209)),(E209-C209),"")</f>
        <v/>
      </c>
      <c r="H209" s="11">
        <f>IF(AND(ISNUMBER(C209),ISNUMBER(F209)),(F209-C209),"")</f>
        <v/>
      </c>
    </row>
    <row r="210">
      <c r="A210" s="3" t="inlineStr">
        <is>
          <t>1206503</t>
        </is>
      </c>
      <c r="B210" s="3" t="inlineStr">
        <is>
          <t>623</t>
        </is>
      </c>
      <c r="C210" s="10" t="n">
        <v>45668.54857638889</v>
      </c>
      <c r="D210" s="3" t="inlineStr">
        <is>
          <t>OBT120125104405-Budapest</t>
        </is>
      </c>
      <c r="E210" s="10" t="n">
        <v>45669.44728009259</v>
      </c>
      <c r="F210" s="10" t="n">
        <v>45669.47113425926</v>
      </c>
      <c r="G210" s="11">
        <f>IF(AND(ISNUMBER(C210),ISNUMBER(E210)),(E210-C210),"")</f>
        <v/>
      </c>
      <c r="H210" s="11">
        <f>IF(AND(ISNUMBER(C210),ISNUMBER(F210)),(F210-C210),"")</f>
        <v/>
      </c>
    </row>
    <row r="211">
      <c r="A211" s="3" t="inlineStr">
        <is>
          <t>1206504</t>
        </is>
      </c>
      <c r="B211" s="3" t="inlineStr">
        <is>
          <t>613</t>
        </is>
      </c>
      <c r="C211" s="10" t="n">
        <v>45668.54997685185</v>
      </c>
      <c r="D211" s="3" t="inlineStr">
        <is>
          <t>OBT110125133600-Ljubljana</t>
        </is>
      </c>
      <c r="E211" s="10" t="n">
        <v>45668.56666666667</v>
      </c>
      <c r="F211" s="10" t="n">
        <v>45668.60259259259</v>
      </c>
      <c r="G211" s="11">
        <f>IF(AND(ISNUMBER(C211),ISNUMBER(E211)),(E211-C211),"")</f>
        <v/>
      </c>
      <c r="H211" s="11">
        <f>IF(AND(ISNUMBER(C211),ISNUMBER(F211)),(F211-C211),"")</f>
        <v/>
      </c>
    </row>
    <row r="212">
      <c r="A212" s="3" t="inlineStr">
        <is>
          <t>1206601</t>
        </is>
      </c>
      <c r="B212" s="3" t="inlineStr">
        <is>
          <t>607</t>
        </is>
      </c>
      <c r="C212" s="10" t="n">
        <v>45668.55346064815</v>
      </c>
      <c r="D212" s="3" t="inlineStr">
        <is>
          <t>OBT110125213155-Vienna</t>
        </is>
      </c>
      <c r="E212" s="10" t="n">
        <v>45668.89716435185</v>
      </c>
      <c r="F212" s="10" t="n">
        <v>45668.91833333333</v>
      </c>
      <c r="G212" s="11">
        <f>IF(AND(ISNUMBER(C212),ISNUMBER(E212)),(E212-C212),"")</f>
        <v/>
      </c>
      <c r="H212" s="11">
        <f>IF(AND(ISNUMBER(C212),ISNUMBER(F212)),(F212-C212),"")</f>
        <v/>
      </c>
    </row>
    <row r="213">
      <c r="A213" s="3" t="inlineStr">
        <is>
          <t>1206602</t>
        </is>
      </c>
      <c r="B213" s="3" t="inlineStr">
        <is>
          <t>609</t>
        </is>
      </c>
      <c r="C213" s="10" t="n">
        <v>45668.55503472222</v>
      </c>
      <c r="D213" s="3" t="inlineStr">
        <is>
          <t>OBT120125095853-Linz</t>
        </is>
      </c>
      <c r="E213" s="10" t="n">
        <v>45669.4158912037</v>
      </c>
      <c r="F213" s="10" t="n">
        <v>45669.43973379629</v>
      </c>
      <c r="G213" s="11">
        <f>IF(AND(ISNUMBER(C213),ISNUMBER(E213)),(E213-C213),"")</f>
        <v/>
      </c>
      <c r="H213" s="11">
        <f>IF(AND(ISNUMBER(C213),ISNUMBER(F213)),(F213-C213),"")</f>
        <v/>
      </c>
    </row>
    <row r="214">
      <c r="A214" s="3" t="inlineStr">
        <is>
          <t>1206701</t>
        </is>
      </c>
      <c r="B214" s="3" t="inlineStr">
        <is>
          <t>606</t>
        </is>
      </c>
      <c r="C214" s="10" t="n">
        <v>45668.75869212963</v>
      </c>
      <c r="D214" s="3" t="inlineStr">
        <is>
          <t>OBT110125215724-Graz</t>
        </is>
      </c>
      <c r="E214" s="10" t="n">
        <v>45668.91486111111</v>
      </c>
      <c r="F214" s="10" t="n">
        <v>45668.96125</v>
      </c>
      <c r="G214" s="11">
        <f>IF(AND(ISNUMBER(C214),ISNUMBER(E214)),(E214-C214),"")</f>
        <v/>
      </c>
      <c r="H214" s="11">
        <f>IF(AND(ISNUMBER(C214),ISNUMBER(F214)),(F214-C214),"")</f>
        <v/>
      </c>
    </row>
    <row r="215">
      <c r="A215" s="3" t="inlineStr">
        <is>
          <t>1206702</t>
        </is>
      </c>
      <c r="B215" s="3" t="inlineStr">
        <is>
          <t>615</t>
        </is>
      </c>
      <c r="C215" s="10" t="n">
        <v>45668.75993055556</v>
      </c>
      <c r="D215" s="3" t="inlineStr">
        <is>
          <t>OBT120125083654-Innsbruck</t>
        </is>
      </c>
      <c r="E215" s="10" t="n">
        <v>45669.35895833333</v>
      </c>
      <c r="F215" s="10" t="n">
        <v>45669.38559027778</v>
      </c>
      <c r="G215" s="11">
        <f>IF(AND(ISNUMBER(C215),ISNUMBER(E215)),(E215-C215),"")</f>
        <v/>
      </c>
      <c r="H215" s="11">
        <f>IF(AND(ISNUMBER(C215),ISNUMBER(F215)),(F215-C215),"")</f>
        <v/>
      </c>
    </row>
    <row r="216">
      <c r="A216" s="3" t="inlineStr">
        <is>
          <t>1206801</t>
        </is>
      </c>
      <c r="B216" s="3" t="inlineStr">
        <is>
          <t>607</t>
        </is>
      </c>
      <c r="C216" s="10" t="n">
        <v>45668.88748842593</v>
      </c>
      <c r="D216" s="3" t="inlineStr">
        <is>
          <t>OBT110125213155-Vienna</t>
        </is>
      </c>
      <c r="E216" s="10" t="n">
        <v>45668.89716435185</v>
      </c>
      <c r="F216" s="10" t="n">
        <v>45668.91833333333</v>
      </c>
      <c r="G216" s="11">
        <f>IF(AND(ISNUMBER(C216),ISNUMBER(E216)),(E216-C216),"")</f>
        <v/>
      </c>
      <c r="H216" s="11">
        <f>IF(AND(ISNUMBER(C216),ISNUMBER(F216)),(F216-C216),"")</f>
        <v/>
      </c>
    </row>
    <row r="217">
      <c r="A217" s="3" t="inlineStr">
        <is>
          <t>1206802</t>
        </is>
      </c>
      <c r="B217" s="3" t="inlineStr">
        <is>
          <t>606</t>
        </is>
      </c>
      <c r="C217" s="10" t="n">
        <v>45668.88954861111</v>
      </c>
      <c r="D217" s="3" t="inlineStr">
        <is>
          <t>OBT110125215724-Graz</t>
        </is>
      </c>
      <c r="E217" s="10" t="n">
        <v>45668.91486111111</v>
      </c>
      <c r="F217" s="10" t="n">
        <v>45668.96125</v>
      </c>
      <c r="G217" s="11">
        <f>IF(AND(ISNUMBER(C217),ISNUMBER(E217)),(E217-C217),"")</f>
        <v/>
      </c>
      <c r="H217" s="11">
        <f>IF(AND(ISNUMBER(C217),ISNUMBER(F217)),(F217-C217),"")</f>
        <v/>
      </c>
    </row>
    <row r="218">
      <c r="A218" s="3" t="inlineStr">
        <is>
          <t>1206803</t>
        </is>
      </c>
      <c r="B218" s="3" t="inlineStr">
        <is>
          <t>606</t>
        </is>
      </c>
      <c r="C218" s="10" t="n">
        <v>45668.88954861111</v>
      </c>
      <c r="D218" s="3" t="inlineStr">
        <is>
          <t>OBT110125215724-Graz</t>
        </is>
      </c>
      <c r="E218" s="10" t="n">
        <v>45668.91486111111</v>
      </c>
      <c r="F218" s="10" t="n">
        <v>45668.96125</v>
      </c>
      <c r="G218" s="11">
        <f>IF(AND(ISNUMBER(C218),ISNUMBER(E218)),(E218-C218),"")</f>
        <v/>
      </c>
      <c r="H218" s="11">
        <f>IF(AND(ISNUMBER(C218),ISNUMBER(F218)),(F218-C218),"")</f>
        <v/>
      </c>
    </row>
    <row r="219">
      <c r="A219" s="3" t="inlineStr">
        <is>
          <t>1206804</t>
        </is>
      </c>
      <c r="B219" s="3" t="inlineStr">
        <is>
          <t>606</t>
        </is>
      </c>
      <c r="C219" s="10" t="n">
        <v>45668.88954861111</v>
      </c>
      <c r="D219" s="3" t="inlineStr">
        <is>
          <t>OBT110125215724-Graz</t>
        </is>
      </c>
      <c r="E219" s="10" t="n">
        <v>45668.91486111111</v>
      </c>
      <c r="F219" s="10" t="n">
        <v>45668.96125</v>
      </c>
      <c r="G219" s="11">
        <f>IF(AND(ISNUMBER(C219),ISNUMBER(E219)),(E219-C219),"")</f>
        <v/>
      </c>
      <c r="H219" s="11">
        <f>IF(AND(ISNUMBER(C219),ISNUMBER(F219)),(F219-C219),"")</f>
        <v/>
      </c>
    </row>
    <row r="220">
      <c r="A220" s="3" t="inlineStr">
        <is>
          <t>1206805</t>
        </is>
      </c>
      <c r="B220" s="3" t="inlineStr">
        <is>
          <t>613</t>
        </is>
      </c>
      <c r="C220" s="10" t="n">
        <v>45668.89097222222</v>
      </c>
      <c r="D220" s="3" t="inlineStr">
        <is>
          <t>OBT120125121725-Ljubljana</t>
        </is>
      </c>
      <c r="E220" s="10" t="n">
        <v>45669.5120949074</v>
      </c>
      <c r="F220" s="10" t="n">
        <v>45669.53870370371</v>
      </c>
      <c r="G220" s="11">
        <f>IF(AND(ISNUMBER(C220),ISNUMBER(E220)),(E220-C220),"")</f>
        <v/>
      </c>
      <c r="H220" s="11">
        <f>IF(AND(ISNUMBER(C220),ISNUMBER(F220)),(F220-C220),"")</f>
        <v/>
      </c>
    </row>
    <row r="221">
      <c r="A221" s="3" t="inlineStr">
        <is>
          <t>1206901</t>
        </is>
      </c>
      <c r="B221" s="3" t="inlineStr">
        <is>
          <t>627</t>
        </is>
      </c>
      <c r="C221" s="10" t="n">
        <v>45668.98903935185</v>
      </c>
      <c r="D221" s="3" t="inlineStr">
        <is>
          <t>OBT120125000412-Salzburg</t>
        </is>
      </c>
      <c r="E221" s="10" t="n">
        <v>45669.00291666666</v>
      </c>
      <c r="F221" s="10" t="n">
        <v>45669.02666666666</v>
      </c>
      <c r="G221" s="11">
        <f>IF(AND(ISNUMBER(C221),ISNUMBER(E221)),(E221-C221),"")</f>
        <v/>
      </c>
      <c r="H221" s="11">
        <f>IF(AND(ISNUMBER(C221),ISNUMBER(F221)),(F221-C221),"")</f>
        <v/>
      </c>
    </row>
    <row r="222">
      <c r="A222" s="3" t="inlineStr">
        <is>
          <t>1206902</t>
        </is>
      </c>
      <c r="B222" s="3" t="inlineStr">
        <is>
          <t>627</t>
        </is>
      </c>
      <c r="C222" s="10" t="n">
        <v>45668.98903935185</v>
      </c>
      <c r="D222" s="3" t="inlineStr">
        <is>
          <t>OBT120125000412-Salzburg</t>
        </is>
      </c>
      <c r="E222" s="10" t="n">
        <v>45669.00291666666</v>
      </c>
      <c r="F222" s="10" t="n">
        <v>45669.02666666666</v>
      </c>
      <c r="G222" s="11">
        <f>IF(AND(ISNUMBER(C222),ISNUMBER(E222)),(E222-C222),"")</f>
        <v/>
      </c>
      <c r="H222" s="11">
        <f>IF(AND(ISNUMBER(C222),ISNUMBER(F222)),(F222-C222),"")</f>
        <v/>
      </c>
    </row>
    <row r="223">
      <c r="A223" s="3" t="inlineStr">
        <is>
          <t>1206903</t>
        </is>
      </c>
      <c r="B223" s="3" t="inlineStr">
        <is>
          <t>625</t>
        </is>
      </c>
      <c r="C223" s="10" t="n">
        <v>45668.99109953704</v>
      </c>
      <c r="D223" s="3" t="inlineStr">
        <is>
          <t>OBT120125194018-Vienna</t>
        </is>
      </c>
      <c r="E223" s="10" t="n">
        <v>45669.81965277778</v>
      </c>
      <c r="F223" s="10" t="n">
        <v>45669.85479166666</v>
      </c>
      <c r="G223" s="11">
        <f>IF(AND(ISNUMBER(C223),ISNUMBER(E223)),(E223-C223),"")</f>
        <v/>
      </c>
      <c r="H223" s="11">
        <f>IF(AND(ISNUMBER(C223),ISNUMBER(F223)),(F223-C223),"")</f>
        <v/>
      </c>
    </row>
    <row r="224">
      <c r="A224" s="3" t="inlineStr">
        <is>
          <t>1207001</t>
        </is>
      </c>
      <c r="B224" s="3" t="inlineStr">
        <is>
          <t>619</t>
        </is>
      </c>
      <c r="C224" s="10" t="n">
        <v>45669.34618055556</v>
      </c>
      <c r="D224" s="3" t="inlineStr">
        <is>
          <t>OBT120125084207-Klagenfurt</t>
        </is>
      </c>
      <c r="E224" s="10" t="n">
        <v>45669.36258101852</v>
      </c>
      <c r="F224" s="10" t="n">
        <v>45669.39215277778</v>
      </c>
      <c r="G224" s="11">
        <f>IF(AND(ISNUMBER(C224),ISNUMBER(E224)),(E224-C224),"")</f>
        <v/>
      </c>
      <c r="H224" s="11">
        <f>IF(AND(ISNUMBER(C224),ISNUMBER(F224)),(F224-C224),"")</f>
        <v/>
      </c>
    </row>
    <row r="225">
      <c r="A225" s="3" t="inlineStr">
        <is>
          <t>1207002</t>
        </is>
      </c>
      <c r="B225" s="3" t="inlineStr">
        <is>
          <t>615</t>
        </is>
      </c>
      <c r="C225" s="10" t="n">
        <v>45669.34741898148</v>
      </c>
      <c r="D225" s="3" t="inlineStr">
        <is>
          <t>OBT120125083654-Innsbruck</t>
        </is>
      </c>
      <c r="E225" s="10" t="n">
        <v>45669.35895833333</v>
      </c>
      <c r="F225" s="10" t="n">
        <v>45669.38559027778</v>
      </c>
      <c r="G225" s="11">
        <f>IF(AND(ISNUMBER(C225),ISNUMBER(E225)),(E225-C225),"")</f>
        <v/>
      </c>
      <c r="H225" s="11">
        <f>IF(AND(ISNUMBER(C225),ISNUMBER(F225)),(F225-C225),"")</f>
        <v/>
      </c>
    </row>
    <row r="226">
      <c r="A226" s="3" t="inlineStr">
        <is>
          <t>1207003</t>
        </is>
      </c>
      <c r="B226" s="3" t="inlineStr">
        <is>
          <t>619</t>
        </is>
      </c>
      <c r="C226" s="10" t="n">
        <v>45669.34951388889</v>
      </c>
      <c r="D226" s="3" t="inlineStr">
        <is>
          <t>OBT120125084207-Klagenfurt</t>
        </is>
      </c>
      <c r="E226" s="10" t="n">
        <v>45669.36258101852</v>
      </c>
      <c r="F226" s="10" t="n">
        <v>45669.39215277778</v>
      </c>
      <c r="G226" s="11">
        <f>IF(AND(ISNUMBER(C226),ISNUMBER(E226)),(E226-C226),"")</f>
        <v/>
      </c>
      <c r="H226" s="11">
        <f>IF(AND(ISNUMBER(C226),ISNUMBER(F226)),(F226-C226),"")</f>
        <v/>
      </c>
    </row>
    <row r="227">
      <c r="A227" s="3" t="inlineStr">
        <is>
          <t>1207004</t>
        </is>
      </c>
      <c r="B227" s="3" t="inlineStr">
        <is>
          <t>619</t>
        </is>
      </c>
      <c r="C227" s="10" t="n">
        <v>45669.34951388889</v>
      </c>
      <c r="D227" s="3" t="inlineStr">
        <is>
          <t>OBT120125084207-Klagenfurt</t>
        </is>
      </c>
      <c r="E227" s="10" t="n">
        <v>45669.36258101852</v>
      </c>
      <c r="F227" s="10" t="n">
        <v>45669.39215277778</v>
      </c>
      <c r="G227" s="11">
        <f>IF(AND(ISNUMBER(C227),ISNUMBER(E227)),(E227-C227),"")</f>
        <v/>
      </c>
      <c r="H227" s="11">
        <f>IF(AND(ISNUMBER(C227),ISNUMBER(F227)),(F227-C227),"")</f>
        <v/>
      </c>
    </row>
    <row r="228">
      <c r="A228" s="3" t="inlineStr">
        <is>
          <t>1207005</t>
        </is>
      </c>
      <c r="B228" s="3" t="inlineStr">
        <is>
          <t>615</t>
        </is>
      </c>
      <c r="C228" s="10" t="n">
        <v>45669.35075231481</v>
      </c>
      <c r="D228" s="3" t="inlineStr">
        <is>
          <t>OBT120125083654-Innsbruck</t>
        </is>
      </c>
      <c r="E228" s="10" t="n">
        <v>45669.35895833333</v>
      </c>
      <c r="F228" s="10" t="n">
        <v>45669.38559027778</v>
      </c>
      <c r="G228" s="11">
        <f>IF(AND(ISNUMBER(C228),ISNUMBER(E228)),(E228-C228),"")</f>
        <v/>
      </c>
      <c r="H228" s="11">
        <f>IF(AND(ISNUMBER(C228),ISNUMBER(F228)),(F228-C228),"")</f>
        <v/>
      </c>
    </row>
    <row r="229">
      <c r="A229" s="3" t="inlineStr">
        <is>
          <t>1207101</t>
        </is>
      </c>
      <c r="B229" s="3" t="inlineStr">
        <is>
          <t>609</t>
        </is>
      </c>
      <c r="C229" s="10" t="n">
        <v>45669.40280092593</v>
      </c>
      <c r="D229" s="3" t="inlineStr">
        <is>
          <t>OBT120125095853-Linz</t>
        </is>
      </c>
      <c r="E229" s="10" t="n">
        <v>45669.4158912037</v>
      </c>
      <c r="F229" s="10" t="n">
        <v>45669.43973379629</v>
      </c>
      <c r="G229" s="11">
        <f>IF(AND(ISNUMBER(C229),ISNUMBER(E229)),(E229-C229),"")</f>
        <v/>
      </c>
      <c r="H229" s="11">
        <f>IF(AND(ISNUMBER(C229),ISNUMBER(F229)),(F229-C229),"")</f>
        <v/>
      </c>
    </row>
    <row r="230">
      <c r="A230" s="3" t="inlineStr">
        <is>
          <t>1207102</t>
        </is>
      </c>
      <c r="B230" s="3" t="inlineStr">
        <is>
          <t>625</t>
        </is>
      </c>
      <c r="C230" s="10" t="n">
        <v>45669.40489583334</v>
      </c>
      <c r="D230" s="3" t="inlineStr">
        <is>
          <t>OBT120125194018-Vienna</t>
        </is>
      </c>
      <c r="E230" s="10" t="n">
        <v>45669.81965277778</v>
      </c>
      <c r="F230" s="10" t="n">
        <v>45669.85479166666</v>
      </c>
      <c r="G230" s="11">
        <f>IF(AND(ISNUMBER(C230),ISNUMBER(E230)),(E230-C230),"")</f>
        <v/>
      </c>
      <c r="H230" s="11">
        <f>IF(AND(ISNUMBER(C230),ISNUMBER(F230)),(F230-C230),"")</f>
        <v/>
      </c>
    </row>
    <row r="231">
      <c r="A231" s="3" t="inlineStr">
        <is>
          <t>1207201</t>
        </is>
      </c>
      <c r="B231" s="3" t="inlineStr">
        <is>
          <t>623</t>
        </is>
      </c>
      <c r="C231" s="10" t="n">
        <v>45669.43284722222</v>
      </c>
      <c r="D231" s="3" t="inlineStr">
        <is>
          <t>OBT120125104405-Budapest</t>
        </is>
      </c>
      <c r="E231" s="10" t="n">
        <v>45669.44728009259</v>
      </c>
      <c r="F231" s="10" t="n">
        <v>45669.47113425926</v>
      </c>
      <c r="G231" s="11">
        <f>IF(AND(ISNUMBER(C231),ISNUMBER(E231)),(E231-C231),"")</f>
        <v/>
      </c>
      <c r="H231" s="11">
        <f>IF(AND(ISNUMBER(C231),ISNUMBER(F231)),(F231-C231),"")</f>
        <v/>
      </c>
    </row>
    <row r="232">
      <c r="A232" s="3" t="inlineStr">
        <is>
          <t>1207203</t>
        </is>
      </c>
      <c r="B232" s="3" t="inlineStr">
        <is>
          <t>623</t>
        </is>
      </c>
      <c r="C232" s="10" t="n">
        <v>45669.43665509259</v>
      </c>
      <c r="D232" s="3" t="inlineStr">
        <is>
          <t>OBT120125104405-Budapest</t>
        </is>
      </c>
      <c r="E232" s="10" t="n">
        <v>45669.44728009259</v>
      </c>
      <c r="F232" s="10" t="n">
        <v>45669.47113425926</v>
      </c>
      <c r="G232" s="11">
        <f>IF(AND(ISNUMBER(C232),ISNUMBER(E232)),(E232-C232),"")</f>
        <v/>
      </c>
      <c r="H232" s="11">
        <f>IF(AND(ISNUMBER(C232),ISNUMBER(F232)),(F232-C232),"")</f>
        <v/>
      </c>
    </row>
    <row r="233">
      <c r="A233" s="3" t="inlineStr">
        <is>
          <t>1207301</t>
        </is>
      </c>
      <c r="B233" s="3" t="inlineStr">
        <is>
          <t>605</t>
        </is>
      </c>
      <c r="C233" s="10" t="n">
        <v>45669.46829861111</v>
      </c>
      <c r="D233" s="3" t="inlineStr">
        <is>
          <t>OBT120125113345-Salzburg</t>
        </is>
      </c>
      <c r="E233" s="10" t="n">
        <v>45669.48177083334</v>
      </c>
      <c r="F233" s="10" t="n">
        <v>45669.50854166667</v>
      </c>
      <c r="G233" s="11">
        <f>IF(AND(ISNUMBER(C233),ISNUMBER(E233)),(E233-C233),"")</f>
        <v/>
      </c>
      <c r="H233" s="11">
        <f>IF(AND(ISNUMBER(C233),ISNUMBER(F233)),(F233-C233),"")</f>
        <v/>
      </c>
    </row>
    <row r="234">
      <c r="A234" s="3" t="inlineStr">
        <is>
          <t>1207303</t>
        </is>
      </c>
      <c r="B234" s="3" t="inlineStr">
        <is>
          <t>605</t>
        </is>
      </c>
      <c r="C234" s="10" t="n">
        <v>45669.47208333333</v>
      </c>
      <c r="D234" s="3" t="inlineStr">
        <is>
          <t>OBT120125113345-Salzburg</t>
        </is>
      </c>
      <c r="E234" s="10" t="n">
        <v>45669.48177083334</v>
      </c>
      <c r="F234" s="10" t="n">
        <v>45669.50854166667</v>
      </c>
      <c r="G234" s="11">
        <f>IF(AND(ISNUMBER(C234),ISNUMBER(E234)),(E234-C234),"")</f>
        <v/>
      </c>
      <c r="H234" s="11">
        <f>IF(AND(ISNUMBER(C234),ISNUMBER(F234)),(F234-C234),"")</f>
        <v/>
      </c>
    </row>
    <row r="235">
      <c r="A235" s="3" t="inlineStr">
        <is>
          <t>1207401</t>
        </is>
      </c>
      <c r="B235" s="3" t="inlineStr">
        <is>
          <t>613</t>
        </is>
      </c>
      <c r="C235" s="10" t="n">
        <v>45669.50240740741</v>
      </c>
      <c r="D235" s="3" t="inlineStr">
        <is>
          <t>OBT120125121725-Ljubljana</t>
        </is>
      </c>
      <c r="E235" s="10" t="n">
        <v>45669.5120949074</v>
      </c>
      <c r="F235" s="10" t="n">
        <v>45669.53870370371</v>
      </c>
      <c r="G235" s="11">
        <f>IF(AND(ISNUMBER(C235),ISNUMBER(E235)),(E235-C235),"")</f>
        <v/>
      </c>
      <c r="H235" s="11">
        <f>IF(AND(ISNUMBER(C235),ISNUMBER(F235)),(F235-C235),"")</f>
        <v/>
      </c>
    </row>
    <row r="236">
      <c r="A236" s="3" t="inlineStr">
        <is>
          <t>1207403</t>
        </is>
      </c>
      <c r="B236" s="3" t="inlineStr">
        <is>
          <t>619</t>
        </is>
      </c>
      <c r="C236" s="10" t="n">
        <v>45669.50630787037</v>
      </c>
      <c r="D236" s="3" t="inlineStr">
        <is>
          <t>OBT120125162654-Ljubljana</t>
        </is>
      </c>
      <c r="E236" s="10" t="n">
        <v>45669.68534722222</v>
      </c>
      <c r="F236" s="10" t="n">
        <v>45669.70646990741</v>
      </c>
      <c r="G236" s="11">
        <f>IF(AND(ISNUMBER(C236),ISNUMBER(E236)),(E236-C236),"")</f>
        <v/>
      </c>
      <c r="H236" s="11">
        <f>IF(AND(ISNUMBER(C236),ISNUMBER(F236)),(F236-C236),"")</f>
        <v/>
      </c>
    </row>
    <row r="237">
      <c r="A237" s="3" t="inlineStr">
        <is>
          <t>1207501</t>
        </is>
      </c>
      <c r="B237" s="3" t="inlineStr">
        <is>
          <t>619</t>
        </is>
      </c>
      <c r="C237" s="10" t="n">
        <v>45669.67717592593</v>
      </c>
      <c r="D237" s="3" t="inlineStr">
        <is>
          <t>OBT120125162654-Ljubljana</t>
        </is>
      </c>
      <c r="E237" s="10" t="n">
        <v>45669.68534722222</v>
      </c>
      <c r="F237" s="10" t="n">
        <v>45669.70646990741</v>
      </c>
      <c r="G237" s="11">
        <f>IF(AND(ISNUMBER(C237),ISNUMBER(E237)),(E237-C237),"")</f>
        <v/>
      </c>
      <c r="H237" s="11">
        <f>IF(AND(ISNUMBER(C237),ISNUMBER(F237)),(F237-C237),"")</f>
        <v/>
      </c>
    </row>
    <row r="238">
      <c r="A238" s="3" t="inlineStr">
        <is>
          <t>1207502</t>
        </is>
      </c>
      <c r="B238" s="3" t="inlineStr">
        <is>
          <t>613</t>
        </is>
      </c>
      <c r="C238" s="10" t="n">
        <v>45669.67849537037</v>
      </c>
      <c r="D238" s="3" t="inlineStr">
        <is>
          <t>OBT120125230501-Budapest</t>
        </is>
      </c>
      <c r="E238" s="10" t="n">
        <v>45669.96181712963</v>
      </c>
      <c r="F238" s="10" t="n">
        <v>45670.01657407408</v>
      </c>
      <c r="G238" s="11">
        <f>IF(AND(ISNUMBER(C238),ISNUMBER(E238)),(E238-C238),"")</f>
        <v/>
      </c>
      <c r="H238" s="11">
        <f>IF(AND(ISNUMBER(C238),ISNUMBER(F238)),(F238-C238),"")</f>
        <v/>
      </c>
    </row>
    <row r="239">
      <c r="A239" s="3" t="inlineStr">
        <is>
          <t>1207601</t>
        </is>
      </c>
      <c r="B239" s="3" t="inlineStr">
        <is>
          <t>613</t>
        </is>
      </c>
      <c r="C239" s="10" t="n">
        <v>45669.80105324074</v>
      </c>
      <c r="D239" s="3" t="inlineStr">
        <is>
          <t>OBT120125230501-Budapest</t>
        </is>
      </c>
      <c r="E239" s="10" t="n">
        <v>45669.96181712963</v>
      </c>
      <c r="F239" s="10" t="n">
        <v>45670.01657407408</v>
      </c>
      <c r="G239" s="11">
        <f>IF(AND(ISNUMBER(C239),ISNUMBER(E239)),(E239-C239),"")</f>
        <v/>
      </c>
      <c r="H239" s="11">
        <f>IF(AND(ISNUMBER(C239),ISNUMBER(F239)),(F239-C239),"")</f>
        <v/>
      </c>
    </row>
    <row r="240">
      <c r="A240" s="3" t="inlineStr">
        <is>
          <t>1207602</t>
        </is>
      </c>
      <c r="B240" s="3" t="inlineStr">
        <is>
          <t>625</t>
        </is>
      </c>
      <c r="C240" s="10" t="n">
        <v>45669.80329861111</v>
      </c>
      <c r="D240" s="3" t="inlineStr">
        <is>
          <t>OBT120125194018-Vienna</t>
        </is>
      </c>
      <c r="E240" s="10" t="n">
        <v>45669.81965277778</v>
      </c>
      <c r="F240" s="10" t="n">
        <v>45669.85479166666</v>
      </c>
      <c r="G240" s="11">
        <f>IF(AND(ISNUMBER(C240),ISNUMBER(E240)),(E240-C240),"")</f>
        <v/>
      </c>
      <c r="H240" s="11">
        <f>IF(AND(ISNUMBER(C240),ISNUMBER(F240)),(F240-C240),"")</f>
        <v/>
      </c>
    </row>
    <row r="241">
      <c r="A241" s="3" t="inlineStr">
        <is>
          <t>1207603</t>
        </is>
      </c>
      <c r="B241" s="3" t="inlineStr">
        <is>
          <t>625</t>
        </is>
      </c>
      <c r="C241" s="10" t="n">
        <v>45669.80329861111</v>
      </c>
      <c r="D241" s="3" t="inlineStr">
        <is>
          <t>OBT120125194018-Vienna</t>
        </is>
      </c>
      <c r="E241" s="10" t="n">
        <v>45669.81965277778</v>
      </c>
      <c r="F241" s="10" t="n">
        <v>45669.85479166666</v>
      </c>
      <c r="G241" s="11">
        <f>IF(AND(ISNUMBER(C241),ISNUMBER(E241)),(E241-C241),"")</f>
        <v/>
      </c>
      <c r="H241" s="11">
        <f>IF(AND(ISNUMBER(C241),ISNUMBER(F241)),(F241-C241),"")</f>
        <v/>
      </c>
    </row>
    <row r="242">
      <c r="A242" s="3" t="inlineStr">
        <is>
          <t>1207701</t>
        </is>
      </c>
      <c r="B242" s="3" t="inlineStr">
        <is>
          <t>613</t>
        </is>
      </c>
      <c r="C242" s="10" t="n">
        <v>45669.92673611111</v>
      </c>
      <c r="D242" s="3" t="inlineStr">
        <is>
          <t>OBT120125230501-Budapest</t>
        </is>
      </c>
      <c r="E242" s="10" t="n">
        <v>45669.96181712963</v>
      </c>
      <c r="F242" s="10" t="n">
        <v>45670.01657407408</v>
      </c>
      <c r="G242" s="11">
        <f>IF(AND(ISNUMBER(C242),ISNUMBER(E242)),(E242-C242),"")</f>
        <v/>
      </c>
      <c r="H242" s="11">
        <f>IF(AND(ISNUMBER(C242),ISNUMBER(F242)),(F242-C242),"")</f>
        <v/>
      </c>
    </row>
    <row r="243">
      <c r="A243" s="3" t="inlineStr">
        <is>
          <t>1207702</t>
        </is>
      </c>
      <c r="B243" s="3" t="inlineStr">
        <is>
          <t>613</t>
        </is>
      </c>
      <c r="C243" s="10" t="n">
        <v>45669.92673611111</v>
      </c>
      <c r="D243" s="3" t="inlineStr">
        <is>
          <t>OBT120125230501-Budapest</t>
        </is>
      </c>
      <c r="E243" s="10" t="n">
        <v>45669.96181712963</v>
      </c>
      <c r="F243" s="10" t="n">
        <v>45670.01657407408</v>
      </c>
      <c r="G243" s="11">
        <f>IF(AND(ISNUMBER(C243),ISNUMBER(E243)),(E243-C243),"")</f>
        <v/>
      </c>
      <c r="H243" s="11">
        <f>IF(AND(ISNUMBER(C243),ISNUMBER(F243)),(F243-C243),"")</f>
        <v/>
      </c>
    </row>
    <row r="244">
      <c r="A244" s="3" t="inlineStr">
        <is>
          <t>1207703</t>
        </is>
      </c>
      <c r="B244" s="3" t="inlineStr">
        <is>
          <t>613</t>
        </is>
      </c>
      <c r="C244" s="10" t="n">
        <v>45669.92673611111</v>
      </c>
      <c r="D244" s="3" t="inlineStr">
        <is>
          <t>OBT120125230501-Budapest</t>
        </is>
      </c>
      <c r="E244" s="10" t="n">
        <v>45669.96181712963</v>
      </c>
      <c r="F244" s="10" t="n">
        <v>45670.01657407408</v>
      </c>
      <c r="G244" s="11">
        <f>IF(AND(ISNUMBER(C244),ISNUMBER(E244)),(E244-C244),"")</f>
        <v/>
      </c>
      <c r="H244" s="11">
        <f>IF(AND(ISNUMBER(C244),ISNUMBER(F244)),(F244-C244),"")</f>
        <v/>
      </c>
    </row>
    <row r="245">
      <c r="A245" s="3" t="inlineStr">
        <is>
          <t>1207704</t>
        </is>
      </c>
      <c r="B245" s="3" t="inlineStr">
        <is>
          <t>613</t>
        </is>
      </c>
      <c r="C245" s="10" t="n">
        <v>45669.92673611111</v>
      </c>
      <c r="D245" s="3" t="inlineStr">
        <is>
          <t>OBT120125230501-Budapest</t>
        </is>
      </c>
      <c r="E245" s="10" t="n">
        <v>45669.96181712963</v>
      </c>
      <c r="F245" s="10" t="n">
        <v>45670.01657407408</v>
      </c>
      <c r="G245" s="11">
        <f>IF(AND(ISNUMBER(C245),ISNUMBER(E245)),(E245-C245),"")</f>
        <v/>
      </c>
      <c r="H245" s="11">
        <f>IF(AND(ISNUMBER(C245),ISNUMBER(F245)),(F245-C245),"")</f>
        <v/>
      </c>
    </row>
    <row r="246">
      <c r="A246" s="3" t="inlineStr">
        <is>
          <t>1207705</t>
        </is>
      </c>
      <c r="B246" s="3" t="inlineStr">
        <is>
          <t>613</t>
        </is>
      </c>
      <c r="C246" s="10" t="n">
        <v>45669.92673611111</v>
      </c>
      <c r="D246" s="3" t="inlineStr">
        <is>
          <t>OBT120125230501-Budapest</t>
        </is>
      </c>
      <c r="E246" s="10" t="n">
        <v>45669.96181712963</v>
      </c>
      <c r="F246" s="10" t="n">
        <v>45670.01657407408</v>
      </c>
      <c r="G246" s="11">
        <f>IF(AND(ISNUMBER(C246),ISNUMBER(E246)),(E246-C246),"")</f>
        <v/>
      </c>
      <c r="H246" s="11">
        <f>IF(AND(ISNUMBER(C246),ISNUMBER(F246)),(F246-C246),"")</f>
        <v/>
      </c>
    </row>
  </sheetData>
  <autoFilter ref="A1:H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2026-06-25T19:13:39Z</dcterms:created>
  <dcterms:modified xsi:type="dcterms:W3CDTF">2026-06-25T19:13:40Z</dcterms:modified>
</cp:coreProperties>
</file>